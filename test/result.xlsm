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dai\Desktop\"/>
    </mc:Choice>
  </mc:AlternateContent>
  <xr:revisionPtr revIDLastSave="0" documentId="10_ncr:8100000_{B7CD5F72-B69C-48C7-9AF7-30A78223D3F0}" xr6:coauthVersionLast="33" xr6:coauthVersionMax="33" xr10:uidLastSave="{00000000-0000-0000-0000-000000000000}"/>
  <bookViews>
    <workbookView xWindow="0" yWindow="900" windowWidth="21570" windowHeight="8160" xr2:uid="{FAAD74E0-527E-40B8-8261-4D8EE7A6D11E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1" l="1"/>
  <c r="M6" i="1" l="1"/>
  <c r="N6" i="1"/>
  <c r="O6" i="1"/>
  <c r="L6" i="1" s="1"/>
  <c r="M14" i="1"/>
  <c r="N14" i="1"/>
  <c r="O14" i="1"/>
  <c r="L14" i="1" s="1"/>
  <c r="D14" i="1"/>
  <c r="D6" i="1"/>
  <c r="F14" i="1"/>
  <c r="E14" i="1"/>
  <c r="F13" i="1"/>
  <c r="E13" i="1"/>
  <c r="D13" i="1"/>
  <c r="F6" i="1"/>
  <c r="E6" i="1"/>
  <c r="F5" i="1"/>
  <c r="E5" i="1"/>
  <c r="D5" i="1"/>
  <c r="G14" i="1"/>
  <c r="G13" i="1"/>
  <c r="P14" i="1" s="1"/>
  <c r="G6" i="1"/>
  <c r="G5" i="1"/>
  <c r="P6" i="1" s="1"/>
  <c r="I6" i="1" l="1"/>
  <c r="J6" i="1" s="1"/>
  <c r="K6" i="1" s="1"/>
  <c r="I14" i="1"/>
  <c r="J14" i="1" s="1"/>
  <c r="K14" i="1" s="1"/>
</calcChain>
</file>

<file path=xl/sharedStrings.xml><?xml version="1.0" encoding="utf-8"?>
<sst xmlns="http://schemas.openxmlformats.org/spreadsheetml/2006/main" count="32" uniqueCount="21">
  <si>
    <t>除算</t>
    <rPh sb="0" eb="2">
      <t>ジョザン</t>
    </rPh>
    <phoneticPr fontId="2"/>
  </si>
  <si>
    <t>instruction</t>
    <phoneticPr fontId="2"/>
  </si>
  <si>
    <t>1/3</t>
    <phoneticPr fontId="2"/>
  </si>
  <si>
    <t>基数変換</t>
    <rPh sb="0" eb="4">
      <t>キスウヘンカン</t>
    </rPh>
    <phoneticPr fontId="2"/>
  </si>
  <si>
    <t>0.1(10)→?(2)</t>
    <phoneticPr fontId="2"/>
  </si>
  <si>
    <t>start</t>
    <phoneticPr fontId="2"/>
  </si>
  <si>
    <t>end</t>
    <phoneticPr fontId="2"/>
  </si>
  <si>
    <t>time</t>
    <phoneticPr fontId="2"/>
  </si>
  <si>
    <t>reptimes</t>
    <phoneticPr fontId="2"/>
  </si>
  <si>
    <t>sizeOfStringBuilder</t>
    <phoneticPr fontId="2"/>
  </si>
  <si>
    <t>テスト時間</t>
    <rPh sb="3" eb="5">
      <t>ジカン</t>
    </rPh>
    <phoneticPr fontId="2"/>
  </si>
  <si>
    <t>[h]</t>
    <phoneticPr fontId="2"/>
  </si>
  <si>
    <t>[m]</t>
    <phoneticPr fontId="2"/>
  </si>
  <si>
    <t>[s]</t>
    <phoneticPr fontId="2"/>
  </si>
  <si>
    <t>[time]</t>
    <phoneticPr fontId="2"/>
  </si>
  <si>
    <t>6/2 0:00
時点[s]表記</t>
    <rPh sb="9" eb="11">
      <t>ジテン</t>
    </rPh>
    <rPh sb="14" eb="16">
      <t>ヒョウキ</t>
    </rPh>
    <phoneticPr fontId="2"/>
  </si>
  <si>
    <t>6/3 0:00
時点[s]表記</t>
    <rPh sb="9" eb="11">
      <t>ジテン</t>
    </rPh>
    <rPh sb="14" eb="16">
      <t>ヒョウキ</t>
    </rPh>
    <phoneticPr fontId="2"/>
  </si>
  <si>
    <t>reptimes
[/day]</t>
    <phoneticPr fontId="2"/>
  </si>
  <si>
    <t>reptimes
[/hour]</t>
    <phoneticPr fontId="2"/>
  </si>
  <si>
    <t>reptimes
[/second]</t>
    <phoneticPr fontId="2"/>
  </si>
  <si>
    <t>reptimes
[/min]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</si>
</sst>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#,##0_ "/>
  </numFmts>
  <fonts count="3" x14ac:knownFonts="1">
    <font>
      <sz val="9"/>
      <color theme="1"/>
      <name val="ＭＳ ゴシック"/>
      <family val="2"/>
      <charset val="128"/>
    </font>
    <font>
      <sz val="9"/>
      <color rgb="FFFF0000"/>
      <name val="ＭＳ ゴシック"/>
      <family val="2"/>
      <charset val="128"/>
    </font>
    <font>
      <sz val="6"/>
      <name val="ＭＳ 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77" fontId="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B1AC0-6CFD-4CE4-AA97-2DB5E2C4E89E}">
  <sheetPr codeName="Sheet1"/>
  <dimension ref="A1:P14"/>
  <sheetViews>
    <sheetView tabSelected="1" workbookViewId="0">
      <selection activeCell="L8" sqref="L8"/>
    </sheetView>
  </sheetViews>
  <sheetFormatPr defaultRowHeight="11.25" x14ac:dyDescent="0.15"/>
  <cols>
    <col min="2" max="2" width="13.33203125" bestFit="1" customWidth="1"/>
    <col min="3" max="3" width="22.5" bestFit="1" customWidth="1"/>
    <col min="4" max="4" width="5" style="7" bestFit="1" customWidth="1"/>
    <col min="5" max="6" width="4" style="7" bestFit="1" customWidth="1"/>
    <col min="7" max="7" width="13.33203125" bestFit="1" customWidth="1"/>
    <col min="8" max="8" width="22.5" bestFit="1" customWidth="1"/>
    <col min="9" max="9" width="13.33203125" bestFit="1" customWidth="1"/>
    <col min="10" max="12" width="13.33203125" customWidth="1"/>
  </cols>
  <sheetData>
    <row r="1" spans="1:16" x14ac:dyDescent="0.15">
      <c r="A1" t="s">
        <v>0</v>
      </c>
    </row>
    <row r="2" spans="1:16" x14ac:dyDescent="0.15">
      <c r="B2" t="s">
        <v>1</v>
      </c>
      <c r="C2" s="1" t="s">
        <v>2</v>
      </c>
      <c r="M2" t="s">
        <v>10</v>
      </c>
    </row>
    <row r="3" spans="1:16" x14ac:dyDescent="0.15">
      <c r="C3" s="5" t="s">
        <v>7</v>
      </c>
      <c r="M3" t="s">
        <v>11</v>
      </c>
      <c r="N3" t="s">
        <v>12</v>
      </c>
      <c r="O3" t="s">
        <v>13</v>
      </c>
    </row>
    <row r="4" spans="1:16" ht="22.5" x14ac:dyDescent="0.15">
      <c r="C4" s="6" t="s">
        <v>14</v>
      </c>
      <c r="D4" s="8" t="s">
        <v>11</v>
      </c>
      <c r="E4" s="8" t="s">
        <v>12</v>
      </c>
      <c r="F4" s="8" t="s">
        <v>13</v>
      </c>
      <c r="G4" s="9" t="s">
        <v>15</v>
      </c>
      <c r="H4" s="6" t="s">
        <v>8</v>
      </c>
      <c r="I4" s="9" t="s">
        <v>17</v>
      </c>
      <c r="J4" s="9" t="s">
        <v>18</v>
      </c>
      <c r="K4" s="9" t="s">
        <v>20</v>
      </c>
      <c r="L4" s="9" t="s">
        <v>19</v>
      </c>
    </row>
    <row r="5" spans="1:16" x14ac:dyDescent="0.15">
      <c r="B5" s="4" t="s">
        <v>5</v>
      </c>
      <c r="C5" s="2">
        <v>43253.018518518518</v>
      </c>
      <c r="D5" s="7">
        <f>HOUR(C5)</f>
        <v>0</v>
      </c>
      <c r="E5" s="7">
        <f>MINUTE(C5)</f>
        <v>26</v>
      </c>
      <c r="F5" s="7">
        <f>SECOND(C5)</f>
        <v>40</v>
      </c>
      <c r="G5" s="4" t="str">
        <f>baseNAddition(baseNMultiplication(D5,"3600"),baseNAddition(baseNMultiplication(E5,"60"),F5))</f>
        <v>1600</v>
      </c>
      <c r="H5" s="3">
        <v>0</v>
      </c>
    </row>
    <row r="6" spans="1:16" x14ac:dyDescent="0.15">
      <c r="B6" s="4" t="s">
        <v>6</v>
      </c>
      <c r="C6" s="2">
        <v>43254.419976851852</v>
      </c>
      <c r="D6" s="7">
        <f>HOUR(C6)+24</f>
        <v>34</v>
      </c>
      <c r="E6" s="7">
        <f>MINUTE(C6)</f>
        <v>4</v>
      </c>
      <c r="F6" s="7">
        <f>SECOND(C6)</f>
        <v>46</v>
      </c>
      <c r="G6" s="4" t="str">
        <f>baseNAddition(baseNMultiplication(D6,"3600"),baseNAddition(baseNMultiplication(E6,"60"),F6))</f>
        <v>122686</v>
      </c>
      <c r="H6" s="3">
        <v>14358437</v>
      </c>
      <c r="I6" s="3">
        <f>H6*(86400/O6)</f>
        <v>10245354.18462627</v>
      </c>
      <c r="J6" s="3">
        <f>I6/24</f>
        <v>426889.75769276125</v>
      </c>
      <c r="K6" s="3">
        <f>J6/60</f>
        <v>7114.8292948793542</v>
      </c>
      <c r="L6" s="10">
        <f>H6/O6</f>
        <v>118.58048824798924</v>
      </c>
      <c r="M6">
        <f>($C6-$C5)*24</f>
        <v>33.635000000009313</v>
      </c>
      <c r="N6">
        <f>($C6-$C5)*1440</f>
        <v>2018.1000000005588</v>
      </c>
      <c r="O6">
        <f>($C6-$C5)*86400</f>
        <v>121086.00000003353</v>
      </c>
      <c r="P6" t="str">
        <f>baseNAddition(G6,"-"&amp;G5)</f>
        <v>121086</v>
      </c>
    </row>
    <row r="7" spans="1:16" x14ac:dyDescent="0.15">
      <c r="C7" s="2"/>
      <c r="H7" s="3"/>
    </row>
    <row r="8" spans="1:16" x14ac:dyDescent="0.15">
      <c r="A8" t="s">
        <v>3</v>
      </c>
      <c r="L8">
        <f>L6*86400</f>
        <v>10245354.18462627</v>
      </c>
    </row>
    <row r="9" spans="1:16" x14ac:dyDescent="0.15">
      <c r="B9" t="s">
        <v>1</v>
      </c>
      <c r="C9" t="s">
        <v>4</v>
      </c>
    </row>
    <row r="11" spans="1:16" x14ac:dyDescent="0.15">
      <c r="C11" s="5" t="s">
        <v>7</v>
      </c>
    </row>
    <row r="12" spans="1:16" ht="22.5" x14ac:dyDescent="0.15">
      <c r="C12" s="6" t="s">
        <v>14</v>
      </c>
      <c r="D12" s="8" t="s">
        <v>11</v>
      </c>
      <c r="E12" s="8" t="s">
        <v>12</v>
      </c>
      <c r="F12" s="8" t="s">
        <v>13</v>
      </c>
      <c r="G12" s="9" t="s">
        <v>16</v>
      </c>
      <c r="H12" s="6" t="s">
        <v>9</v>
      </c>
    </row>
    <row r="13" spans="1:16" x14ac:dyDescent="0.15">
      <c r="B13" s="4" t="s">
        <v>5</v>
      </c>
      <c r="C13" s="2">
        <v>43254.435520833336</v>
      </c>
      <c r="D13" s="7">
        <f t="shared" ref="D13" si="0">HOUR(C13)</f>
        <v>10</v>
      </c>
      <c r="E13" s="7">
        <f t="shared" ref="E13:E14" si="1">MINUTE(C13)</f>
        <v>27</v>
      </c>
      <c r="F13" s="7">
        <f t="shared" ref="F13:F14" si="2">SECOND(C13)</f>
        <v>9</v>
      </c>
      <c r="G13" s="4" t="str">
        <f>baseNAddition(baseNMultiplication(D13,"3600"),baseNAddition(baseNMultiplication(E13,"60"),F13))</f>
        <v>37629</v>
      </c>
      <c r="H13" s="3">
        <v>0</v>
      </c>
    </row>
    <row r="14" spans="1:16" x14ac:dyDescent="0.15">
      <c r="B14" s="4" t="s">
        <v>6</v>
      </c>
      <c r="C14" s="2">
        <v>43255.523287037038</v>
      </c>
      <c r="D14" s="7">
        <f>HOUR(C14)+24</f>
        <v>36</v>
      </c>
      <c r="E14" s="7">
        <f t="shared" si="1"/>
        <v>33</v>
      </c>
      <c r="F14" s="7">
        <f t="shared" si="2"/>
        <v>32</v>
      </c>
      <c r="G14" s="4" t="str">
        <f>baseNAddition(baseNMultiplication(D14,"3600"),baseNAddition(baseNMultiplication(E14,"60"),F14))</f>
        <v>131612</v>
      </c>
      <c r="H14" s="3">
        <v>84188147</v>
      </c>
      <c r="I14" s="3">
        <f>H14*(86400/O14)</f>
        <v>77395442.801485777</v>
      </c>
      <c r="J14" s="3">
        <f>I14/24</f>
        <v>3224810.116728574</v>
      </c>
      <c r="K14" s="3">
        <f>J14/60</f>
        <v>53746.835278809565</v>
      </c>
      <c r="L14" s="10">
        <f>H14/O14</f>
        <v>895.78058798015945</v>
      </c>
      <c r="M14">
        <f>($C14-$C13)*24</f>
        <v>26.106388888845686</v>
      </c>
      <c r="N14">
        <f>($C14-$C13)*1440</f>
        <v>1566.3833333307412</v>
      </c>
      <c r="O14">
        <f>($C14-$C13)*86400</f>
        <v>93982.999999844469</v>
      </c>
      <c r="P14" t="str">
        <f>baseNAddition(G14,"-"&amp;G13)</f>
        <v>93983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Koudai</dc:creator>
  <cp:lastModifiedBy>Koudai</cp:lastModifiedBy>
  <dcterms:created xsi:type="dcterms:W3CDTF">2018-06-04T05:09:29Z</dcterms:created>
  <dcterms:modified xsi:type="dcterms:W3CDTF">2018-06-04T09:04:17Z</dcterms:modified>
</cp:coreProperties>
</file>