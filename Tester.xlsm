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19226" codeName="{EC734049-C954-9101-EBF6-4418645C62DC}"/>
  <workbookPr codeName="ThisWorkbook"/>
  <mc:AlternateContent xmlns:mc="http://schemas.openxmlformats.org/markup-compatibility/2006">
    <mc:Choice Requires="x15">
      <x15ac:absPath xmlns:x15ac="http://schemas.microsoft.com/office/spreadsheetml/2010/11/ac" url="D:\VBA-BaseNNumericString\"/>
    </mc:Choice>
  </mc:AlternateContent>
  <xr:revisionPtr revIDLastSave="0" documentId="10_ncr:8100000_{FED4A7F3-7B14-4D59-8708-B87737E30C8F}" xr6:coauthVersionLast="32" xr6:coauthVersionMax="32" xr10:uidLastSave="{00000000-0000-0000-0000-000000000000}"/>
  <bookViews>
    <workbookView xWindow="0" yWindow="26100" windowWidth="18645" windowHeight="9570" xr2:uid="{00000000-000D-0000-FFFF-FFFF00000000}"/>
  </bookViews>
  <sheets>
    <sheet name="Sheet1" sheetId="1" r:id="rId1"/>
  </sheets>
  <functionGroups builtInGroupCount="19"/>
  <calcPr calcId="162913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J77" i="1" l="1"/>
  <c r="L181" i="1"/>
  <c r="I6" i="1"/>
  <c r="T248" i="1"/>
  <c r="I543" i="1"/>
  <c r="Q623" i="1"/>
  <c r="K247" i="1"/>
  <c r="J609" i="1"/>
  <c r="S551" i="1"/>
  <c r="Q501" i="1"/>
  <c r="J531" i="1"/>
  <c r="Q487" i="1"/>
  <c r="I248" i="1"/>
  <c r="Q29" i="1"/>
  <c r="Q240" i="1"/>
  <c r="R227" i="1"/>
  <c r="I223" i="1"/>
  <c r="Q706" i="1"/>
  <c r="R345" i="1"/>
  <c r="I668" i="1"/>
  <c r="J551" i="1"/>
  <c r="Q552" i="1"/>
  <c r="I662" i="1"/>
  <c r="Q604" i="1"/>
  <c r="I640" i="1"/>
  <c r="I58" i="1"/>
  <c r="J241" i="1"/>
  <c r="K253" i="1"/>
  <c r="S492" i="1"/>
  <c r="L244" i="1"/>
  <c r="Q711" i="1"/>
  <c r="R602" i="1"/>
  <c r="K607" i="1"/>
  <c r="K545" i="1"/>
  <c r="J513" i="1"/>
  <c r="I74" i="1"/>
  <c r="Q117" i="1"/>
  <c r="I283" i="1"/>
  <c r="Q488" i="1"/>
  <c r="I584" i="1"/>
  <c r="R112" i="1"/>
  <c r="Q608" i="1"/>
  <c r="J475" i="1"/>
  <c r="Q121" i="1"/>
  <c r="Q406" i="1"/>
  <c r="Q607" i="1"/>
  <c r="K255" i="1"/>
  <c r="K562" i="1"/>
  <c r="I304" i="1"/>
  <c r="R533" i="1"/>
  <c r="R250" i="1"/>
  <c r="I659" i="1"/>
  <c r="Q204" i="1"/>
  <c r="J184" i="1"/>
  <c r="I672" i="1"/>
  <c r="J263" i="1"/>
  <c r="I218" i="1"/>
  <c r="I633" i="1"/>
  <c r="K594" i="1"/>
  <c r="J548" i="1"/>
  <c r="Q675" i="1"/>
  <c r="L262" i="1"/>
  <c r="Q390" i="1"/>
  <c r="Q595" i="1"/>
  <c r="K246" i="1"/>
  <c r="I43" i="1"/>
  <c r="J563" i="1"/>
  <c r="S249" i="1"/>
  <c r="Q384" i="1"/>
  <c r="S210" i="1"/>
  <c r="S497" i="1"/>
  <c r="R503" i="1"/>
  <c r="Q703" i="1"/>
  <c r="K566" i="1"/>
  <c r="L200" i="1"/>
  <c r="S215" i="1"/>
  <c r="I532" i="1"/>
  <c r="J224" i="1"/>
  <c r="I96" i="1"/>
  <c r="Q73" i="1"/>
  <c r="I541" i="1"/>
  <c r="I346" i="1"/>
  <c r="R377" i="1"/>
  <c r="I670" i="1"/>
  <c r="R369" i="1"/>
  <c r="J330" i="1"/>
  <c r="I598" i="1"/>
  <c r="Q395" i="1"/>
  <c r="Q712" i="1"/>
  <c r="J332" i="1"/>
  <c r="S601" i="1"/>
  <c r="J550" i="1"/>
  <c r="R72" i="1"/>
  <c r="R366" i="1"/>
  <c r="I109" i="1"/>
  <c r="R87" i="1"/>
  <c r="I406" i="1"/>
  <c r="I599" i="1"/>
  <c r="R351" i="1"/>
  <c r="Q347" i="1"/>
  <c r="J610" i="1"/>
  <c r="I691" i="1"/>
  <c r="J195" i="1"/>
  <c r="K474" i="1"/>
  <c r="I115" i="1"/>
  <c r="R122" i="1"/>
  <c r="K534" i="1"/>
  <c r="J68" i="1"/>
  <c r="T201" i="1"/>
  <c r="I123" i="1"/>
  <c r="R211" i="1"/>
  <c r="I529" i="1"/>
  <c r="R321" i="1"/>
  <c r="R554" i="1"/>
  <c r="Q499" i="1"/>
  <c r="T235" i="1"/>
  <c r="R96" i="1"/>
  <c r="J605" i="1"/>
  <c r="I427" i="1"/>
  <c r="Q208" i="1"/>
  <c r="R475" i="1"/>
  <c r="Q211" i="1"/>
  <c r="J222" i="1"/>
  <c r="Q455" i="1"/>
  <c r="Q492" i="1"/>
  <c r="I235" i="1"/>
  <c r="S587" i="1"/>
  <c r="R61" i="1"/>
  <c r="I88" i="1"/>
  <c r="I184" i="1"/>
  <c r="J93" i="1"/>
  <c r="I295" i="1"/>
  <c r="Q376" i="1"/>
  <c r="J72" i="1"/>
  <c r="R261" i="1"/>
  <c r="I167" i="1"/>
  <c r="Q300" i="1"/>
  <c r="R498" i="1"/>
  <c r="I220" i="1"/>
  <c r="S606" i="1"/>
  <c r="K608" i="1"/>
  <c r="I256" i="1"/>
  <c r="J516" i="1"/>
  <c r="R507" i="1"/>
  <c r="Q222" i="1"/>
  <c r="R504" i="1"/>
  <c r="Q284" i="1"/>
  <c r="Q365" i="1"/>
  <c r="Q407" i="1"/>
  <c r="J561" i="1"/>
  <c r="T224" i="1"/>
  <c r="S491" i="1"/>
  <c r="L212" i="1"/>
  <c r="R114" i="1"/>
  <c r="R105" i="1"/>
  <c r="T184" i="1"/>
  <c r="K251" i="1"/>
  <c r="Q71" i="1"/>
  <c r="R212" i="1"/>
  <c r="L188" i="1"/>
  <c r="R355" i="1"/>
  <c r="J60" i="1"/>
  <c r="R568" i="1"/>
  <c r="J61" i="1"/>
  <c r="S240" i="1"/>
  <c r="I378" i="1"/>
  <c r="S506" i="1"/>
  <c r="Q282" i="1"/>
  <c r="T187" i="1"/>
  <c r="I160" i="1"/>
  <c r="R550" i="1"/>
  <c r="J556" i="1"/>
  <c r="K190" i="1"/>
  <c r="R68" i="1"/>
  <c r="Q5" i="1"/>
  <c r="Q708" i="1"/>
  <c r="I139" i="1"/>
  <c r="T237" i="1"/>
  <c r="J221" i="1"/>
  <c r="I469" i="1"/>
  <c r="I199" i="1"/>
  <c r="Q249" i="1"/>
  <c r="J536" i="1"/>
  <c r="S499" i="1"/>
  <c r="T238" i="1"/>
  <c r="Q162" i="1"/>
  <c r="Q329" i="1"/>
  <c r="S552" i="1"/>
  <c r="I597" i="1"/>
  <c r="I669" i="1"/>
  <c r="Q139" i="1"/>
  <c r="J508" i="1"/>
  <c r="Q673" i="1"/>
  <c r="I149" i="1"/>
  <c r="Q428" i="1"/>
  <c r="J350" i="1"/>
  <c r="Q369" i="1"/>
  <c r="Q672" i="1"/>
  <c r="L256" i="1"/>
  <c r="K574" i="1"/>
  <c r="Q357" i="1"/>
  <c r="K199" i="1"/>
  <c r="R353" i="1"/>
  <c r="K257" i="1"/>
  <c r="I539" i="1"/>
  <c r="Q505" i="1"/>
  <c r="Q180" i="1"/>
  <c r="S531" i="1"/>
  <c r="S232" i="1"/>
  <c r="Q432" i="1"/>
  <c r="S187" i="1"/>
  <c r="J529" i="1"/>
  <c r="R107" i="1"/>
  <c r="J119" i="1"/>
  <c r="I518" i="1"/>
  <c r="J383" i="1"/>
  <c r="I66" i="1"/>
  <c r="I354" i="1"/>
  <c r="I632" i="1"/>
  <c r="Q307" i="1"/>
  <c r="Q28" i="1"/>
  <c r="S540" i="1"/>
  <c r="J471" i="1"/>
  <c r="I176" i="1"/>
  <c r="I435" i="1"/>
  <c r="I303" i="1"/>
  <c r="Q207" i="1"/>
  <c r="I566" i="1"/>
  <c r="J225" i="1"/>
  <c r="I556" i="1"/>
  <c r="I720" i="1"/>
  <c r="Q630" i="1"/>
  <c r="I177" i="1"/>
  <c r="Q95" i="1"/>
  <c r="T247" i="1"/>
  <c r="L209" i="1"/>
  <c r="R233" i="1"/>
  <c r="I298" i="1"/>
  <c r="Q582" i="1"/>
  <c r="Q644" i="1"/>
  <c r="R108" i="1"/>
  <c r="S473" i="1"/>
  <c r="R381" i="1"/>
  <c r="J94" i="1"/>
  <c r="J512" i="1"/>
  <c r="I13" i="1"/>
  <c r="R526" i="1"/>
  <c r="R240" i="1"/>
  <c r="I8" i="1"/>
  <c r="I234" i="1"/>
  <c r="S518" i="1"/>
  <c r="K546" i="1"/>
  <c r="J592" i="1"/>
  <c r="Q456" i="1"/>
  <c r="Q716" i="1"/>
  <c r="J580" i="1"/>
  <c r="K501" i="1"/>
  <c r="Q372" i="1"/>
  <c r="I484" i="1"/>
  <c r="J364" i="1"/>
  <c r="Q600" i="1"/>
  <c r="I391" i="1"/>
  <c r="R189" i="1"/>
  <c r="K526" i="1"/>
  <c r="K517" i="1"/>
  <c r="L258" i="1"/>
  <c r="I548" i="1"/>
  <c r="L228" i="1"/>
  <c r="Q720" i="1"/>
  <c r="K577" i="1"/>
  <c r="I211" i="1"/>
  <c r="K584" i="1"/>
  <c r="Q587" i="1"/>
  <c r="Q705" i="1"/>
  <c r="S233" i="1"/>
  <c r="J336" i="1"/>
  <c r="R496" i="1"/>
  <c r="J79" i="1"/>
  <c r="R365" i="1"/>
  <c r="Q721" i="1"/>
  <c r="I374" i="1"/>
  <c r="I446" i="1"/>
  <c r="R238" i="1"/>
  <c r="J521" i="1"/>
  <c r="R66" i="1"/>
  <c r="Q129" i="1"/>
  <c r="S542" i="1"/>
  <c r="I145" i="1"/>
  <c r="I613" i="1"/>
  <c r="J485" i="1"/>
  <c r="J321" i="1"/>
  <c r="J532" i="1"/>
  <c r="R544" i="1"/>
  <c r="S181" i="1"/>
  <c r="J588" i="1"/>
  <c r="Q281" i="1"/>
  <c r="K550" i="1"/>
  <c r="R256" i="1"/>
  <c r="Q195" i="1"/>
  <c r="K479" i="1"/>
  <c r="Q311" i="1"/>
  <c r="L260" i="1"/>
  <c r="K472" i="1"/>
  <c r="Q245" i="1"/>
  <c r="Q496" i="1"/>
  <c r="J244" i="1"/>
  <c r="R513" i="1"/>
  <c r="I318" i="1"/>
  <c r="K223" i="1"/>
  <c r="I84" i="1"/>
  <c r="R115" i="1"/>
  <c r="I646" i="1"/>
  <c r="R192" i="1"/>
  <c r="Q265" i="1"/>
  <c r="Q37" i="1"/>
  <c r="S489" i="1"/>
  <c r="Q81" i="1"/>
  <c r="Q469" i="1"/>
  <c r="Q22" i="1"/>
  <c r="K521" i="1"/>
  <c r="I551" i="1"/>
  <c r="K592" i="1"/>
  <c r="J245" i="1"/>
  <c r="R90" i="1"/>
  <c r="Q119" i="1"/>
  <c r="Q12" i="1"/>
  <c r="R113" i="1"/>
  <c r="J110" i="1"/>
  <c r="I91" i="1"/>
  <c r="Q699" i="1"/>
  <c r="Q223" i="1"/>
  <c r="I242" i="1"/>
  <c r="Q158" i="1"/>
  <c r="S501" i="1"/>
  <c r="T228" i="1"/>
  <c r="I536" i="1"/>
  <c r="R226" i="1"/>
  <c r="Q216" i="1"/>
  <c r="Q292" i="1"/>
  <c r="I388" i="1"/>
  <c r="J558" i="1"/>
  <c r="J503" i="1"/>
  <c r="S563" i="1"/>
  <c r="I297" i="1"/>
  <c r="T212" i="1"/>
  <c r="I526" i="1"/>
  <c r="R218" i="1"/>
  <c r="J227" i="1"/>
  <c r="I213" i="1"/>
  <c r="Q366" i="1"/>
  <c r="I282" i="1"/>
  <c r="R535" i="1"/>
  <c r="S231" i="1"/>
  <c r="Q62" i="1"/>
  <c r="Q104" i="1"/>
  <c r="R370" i="1"/>
  <c r="Q280" i="1"/>
  <c r="I154" i="1"/>
  <c r="I415" i="1"/>
  <c r="I609" i="1"/>
  <c r="S516" i="1"/>
  <c r="L242" i="1"/>
  <c r="J495" i="1"/>
  <c r="I324" i="1"/>
  <c r="J489" i="1"/>
  <c r="Q554" i="1"/>
  <c r="Q545" i="1"/>
  <c r="S263" i="1"/>
  <c r="S593" i="1"/>
  <c r="Q535" i="1"/>
  <c r="Q361" i="1"/>
  <c r="K610" i="1"/>
  <c r="Q111" i="1"/>
  <c r="J235" i="1"/>
  <c r="J257" i="1"/>
  <c r="I713" i="1"/>
  <c r="Q418" i="1"/>
  <c r="I692" i="1"/>
  <c r="L251" i="1"/>
  <c r="R228" i="1"/>
  <c r="R337" i="1"/>
  <c r="I580" i="1"/>
  <c r="I465" i="1"/>
  <c r="R99" i="1"/>
  <c r="I181" i="1"/>
  <c r="Q90" i="1"/>
  <c r="J555" i="1"/>
  <c r="I476" i="1"/>
  <c r="J115" i="1"/>
  <c r="J75" i="1"/>
  <c r="K484" i="1"/>
  <c r="R558" i="1"/>
  <c r="S555" i="1"/>
  <c r="I436" i="1"/>
  <c r="S252" i="1"/>
  <c r="K529" i="1"/>
  <c r="I85" i="1"/>
  <c r="I487" i="1"/>
  <c r="Q87" i="1"/>
  <c r="Q177" i="1"/>
  <c r="S594" i="1"/>
  <c r="I264" i="1"/>
  <c r="Q667" i="1"/>
  <c r="R64" i="1"/>
  <c r="R219" i="1"/>
  <c r="I499" i="1"/>
  <c r="I309" i="1"/>
  <c r="S597" i="1"/>
  <c r="Q255" i="1"/>
  <c r="S237" i="1"/>
  <c r="K561" i="1"/>
  <c r="Q330" i="1"/>
  <c r="I227" i="1"/>
  <c r="S571" i="1"/>
  <c r="J335" i="1"/>
  <c r="J70" i="1"/>
  <c r="S600" i="1"/>
  <c r="Q386" i="1"/>
  <c r="J574" i="1"/>
  <c r="Q346" i="1"/>
  <c r="J571" i="1"/>
  <c r="I148" i="1"/>
  <c r="Q439" i="1"/>
  <c r="R347" i="1"/>
  <c r="Q612" i="1"/>
  <c r="Q234" i="1"/>
  <c r="K578" i="1"/>
  <c r="Q19" i="1"/>
  <c r="Q567" i="1"/>
  <c r="I150" i="1"/>
  <c r="Q477" i="1"/>
  <c r="L222" i="1"/>
  <c r="S224" i="1"/>
  <c r="J65" i="1"/>
  <c r="K515" i="1"/>
  <c r="Q563" i="1"/>
  <c r="Q220" i="1"/>
  <c r="I347" i="1"/>
  <c r="Q490" i="1"/>
  <c r="K593" i="1"/>
  <c r="I375" i="1"/>
  <c r="K539" i="1"/>
  <c r="Q14" i="1"/>
  <c r="Q120" i="1"/>
  <c r="J78" i="1"/>
  <c r="Q561" i="1"/>
  <c r="Q88" i="1"/>
  <c r="R522" i="1"/>
  <c r="J120" i="1"/>
  <c r="Q656" i="1"/>
  <c r="R566" i="1"/>
  <c r="I675" i="1"/>
  <c r="K480" i="1"/>
  <c r="I441" i="1"/>
  <c r="J591" i="1"/>
  <c r="L191" i="1"/>
  <c r="J229" i="1"/>
  <c r="J526" i="1"/>
  <c r="Q68" i="1"/>
  <c r="I693" i="1"/>
  <c r="Q509" i="1"/>
  <c r="S228" i="1"/>
  <c r="I137" i="1"/>
  <c r="R75" i="1"/>
  <c r="J254" i="1"/>
  <c r="R524" i="1"/>
  <c r="J181" i="1"/>
  <c r="Q480" i="1"/>
  <c r="Q460" i="1"/>
  <c r="J595" i="1"/>
  <c r="K563" i="1"/>
  <c r="K601" i="1"/>
  <c r="R536" i="1"/>
  <c r="Q8" i="1"/>
  <c r="K555" i="1"/>
  <c r="K502" i="1"/>
  <c r="I470" i="1"/>
  <c r="I310" i="1"/>
  <c r="R483" i="1"/>
  <c r="Q173" i="1"/>
  <c r="Q294" i="1"/>
  <c r="Q654" i="1"/>
  <c r="J216" i="1"/>
  <c r="Q30" i="1"/>
  <c r="K591" i="1"/>
  <c r="I561" i="1"/>
  <c r="I552" i="1"/>
  <c r="R83" i="1"/>
  <c r="R573" i="1"/>
  <c r="J208" i="1"/>
  <c r="Q452" i="1"/>
  <c r="J542" i="1"/>
  <c r="I72" i="1"/>
  <c r="Q172" i="1"/>
  <c r="J603" i="1"/>
  <c r="R474" i="1"/>
  <c r="R529" i="1"/>
  <c r="I413" i="1"/>
  <c r="Q603" i="1"/>
  <c r="Q425" i="1"/>
  <c r="I75" i="1"/>
  <c r="J519" i="1"/>
  <c r="R181" i="1"/>
  <c r="R555" i="1"/>
  <c r="I531" i="1"/>
  <c r="Q435" i="1"/>
  <c r="Q598" i="1"/>
  <c r="Q683" i="1"/>
  <c r="I340" i="1"/>
  <c r="R595" i="1"/>
  <c r="I125" i="1"/>
  <c r="R360" i="1"/>
  <c r="K481" i="1"/>
  <c r="R477" i="1"/>
  <c r="R325" i="1"/>
  <c r="I592" i="1"/>
  <c r="Q35" i="1"/>
  <c r="Q680" i="1"/>
  <c r="I247" i="1"/>
  <c r="S241" i="1"/>
  <c r="I63" i="1"/>
  <c r="I140" i="1"/>
  <c r="Q42" i="1"/>
  <c r="R106" i="1"/>
  <c r="T242" i="1"/>
  <c r="Q677" i="1"/>
  <c r="J88" i="1"/>
  <c r="T189" i="1"/>
  <c r="R62" i="1"/>
  <c r="Q565" i="1"/>
  <c r="J509" i="1"/>
  <c r="I146" i="1"/>
  <c r="I222" i="1"/>
  <c r="I76" i="1"/>
  <c r="Q279" i="1"/>
  <c r="L241" i="1"/>
  <c r="Q259" i="1"/>
  <c r="S471" i="1"/>
  <c r="J384" i="1"/>
  <c r="I376" i="1"/>
  <c r="R198" i="1"/>
  <c r="I311" i="1"/>
  <c r="K541" i="1"/>
  <c r="Q689" i="1"/>
  <c r="R243" i="1"/>
  <c r="R242" i="1"/>
  <c r="I712" i="1"/>
  <c r="I24" i="1"/>
  <c r="K604" i="1"/>
  <c r="R479" i="1"/>
  <c r="R93" i="1"/>
  <c r="J349" i="1"/>
  <c r="R182" i="1"/>
  <c r="Q446" i="1"/>
  <c r="I567" i="1"/>
  <c r="Q414" i="1"/>
  <c r="I398" i="1"/>
  <c r="I573" i="1"/>
  <c r="R471" i="1"/>
  <c r="K516" i="1"/>
  <c r="L249" i="1"/>
  <c r="L221" i="1"/>
  <c r="J582" i="1"/>
  <c r="Q98" i="1"/>
  <c r="I210" i="1"/>
  <c r="Q546" i="1"/>
  <c r="I34" i="1"/>
  <c r="K488" i="1"/>
  <c r="J243" i="1"/>
  <c r="J318" i="1"/>
  <c r="R489" i="1"/>
  <c r="J233" i="1"/>
  <c r="I555" i="1"/>
  <c r="K565" i="1"/>
  <c r="Q151" i="1"/>
  <c r="J105" i="1"/>
  <c r="S185" i="1"/>
  <c r="J569" i="1"/>
  <c r="K537" i="1"/>
  <c r="Q244" i="1"/>
  <c r="I273" i="1"/>
  <c r="J562" i="1"/>
  <c r="Q678" i="1"/>
  <c r="K535" i="1"/>
  <c r="Q55" i="1"/>
  <c r="R545" i="1"/>
  <c r="S589" i="1"/>
  <c r="R557" i="1"/>
  <c r="I554" i="1"/>
  <c r="L224" i="1"/>
  <c r="Q107" i="1"/>
  <c r="S207" i="1"/>
  <c r="Q53" i="1"/>
  <c r="Q147" i="1"/>
  <c r="Q326" i="1"/>
  <c r="J356" i="1"/>
  <c r="T207" i="1"/>
  <c r="Q196" i="1"/>
  <c r="Q79" i="1"/>
  <c r="K609" i="1"/>
  <c r="J343" i="1"/>
  <c r="J366" i="1"/>
  <c r="K506" i="1"/>
  <c r="I59" i="1"/>
  <c r="S596" i="1"/>
  <c r="J210" i="1"/>
  <c r="I175" i="1"/>
  <c r="K586" i="1"/>
  <c r="I459" i="1"/>
  <c r="K203" i="1"/>
  <c r="S586" i="1"/>
  <c r="I394" i="1"/>
  <c r="S524" i="1"/>
  <c r="R567" i="1"/>
  <c r="R512" i="1"/>
  <c r="J380" i="1"/>
  <c r="I22" i="1"/>
  <c r="R575" i="1"/>
  <c r="I689" i="1"/>
  <c r="I159" i="1"/>
  <c r="Q251" i="1"/>
  <c r="L195" i="1"/>
  <c r="K244" i="1"/>
  <c r="J370" i="1"/>
  <c r="J258" i="1"/>
  <c r="Q133" i="1"/>
  <c r="T255" i="1"/>
  <c r="J248" i="1"/>
  <c r="R472" i="1"/>
  <c r="R541" i="1"/>
  <c r="I118" i="1"/>
  <c r="I654" i="1"/>
  <c r="K204" i="1"/>
  <c r="R81" i="1"/>
  <c r="I71" i="1"/>
  <c r="Q674" i="1"/>
  <c r="J118" i="1"/>
  <c r="T192" i="1"/>
  <c r="Q518" i="1"/>
  <c r="L236" i="1"/>
  <c r="J260" i="1"/>
  <c r="J493" i="1"/>
  <c r="Q661" i="1"/>
  <c r="J322" i="1"/>
  <c r="L223" i="1"/>
  <c r="R534" i="1"/>
  <c r="I174" i="1"/>
  <c r="Q254" i="1"/>
  <c r="R480" i="1"/>
  <c r="L225" i="1"/>
  <c r="S545" i="1"/>
  <c r="Q717" i="1"/>
  <c r="L231" i="1"/>
  <c r="J327" i="1"/>
  <c r="K600" i="1"/>
  <c r="R71" i="1"/>
  <c r="S195" i="1"/>
  <c r="I695" i="1"/>
  <c r="I618" i="1"/>
  <c r="K560" i="1"/>
  <c r="J186" i="1"/>
  <c r="R262" i="1"/>
  <c r="K520" i="1"/>
  <c r="K597" i="1"/>
  <c r="I656" i="1"/>
  <c r="Q572" i="1"/>
  <c r="Q191" i="1"/>
  <c r="T230" i="1"/>
  <c r="Q250" i="1"/>
  <c r="I57" i="1"/>
  <c r="R202" i="1"/>
  <c r="I368" i="1"/>
  <c r="R599" i="1"/>
  <c r="Q36" i="1"/>
  <c r="I522" i="1"/>
  <c r="Q315" i="1"/>
  <c r="R257" i="1"/>
  <c r="Q253" i="1"/>
  <c r="S539" i="1"/>
  <c r="S217" i="1"/>
  <c r="Q714" i="1"/>
  <c r="K470" i="1"/>
  <c r="Q420" i="1"/>
  <c r="Q596" i="1"/>
  <c r="R254" i="1"/>
  <c r="R523" i="1"/>
  <c r="I494" i="1"/>
  <c r="S476" i="1"/>
  <c r="I306" i="1"/>
  <c r="R530" i="1"/>
  <c r="J251" i="1"/>
  <c r="I42" i="1"/>
  <c r="I664" i="1"/>
  <c r="Q651" i="1"/>
  <c r="R327" i="1"/>
  <c r="R110" i="1"/>
  <c r="J228" i="1"/>
  <c r="Q617" i="1"/>
  <c r="I255" i="1"/>
  <c r="S572" i="1"/>
  <c r="T213" i="1"/>
  <c r="I612" i="1"/>
  <c r="S528" i="1"/>
  <c r="T217" i="1"/>
  <c r="Q622" i="1"/>
  <c r="I182" i="1"/>
  <c r="I661" i="1"/>
  <c r="R252" i="1"/>
  <c r="Q559" i="1"/>
  <c r="R223" i="1"/>
  <c r="I564" i="1"/>
  <c r="I477" i="1"/>
  <c r="L205" i="1"/>
  <c r="L219" i="1"/>
  <c r="Q298" i="1"/>
  <c r="K569" i="1"/>
  <c r="S573" i="1"/>
  <c r="Q327" i="1"/>
  <c r="K540" i="1"/>
  <c r="Q276" i="1"/>
  <c r="L204" i="1"/>
  <c r="Q686" i="1"/>
  <c r="I673" i="1"/>
  <c r="Q161" i="1"/>
  <c r="Q424" i="1"/>
  <c r="K598" i="1"/>
  <c r="S262" i="1"/>
  <c r="I430" i="1"/>
  <c r="R101" i="1"/>
  <c r="L234" i="1"/>
  <c r="I50" i="1"/>
  <c r="R203" i="1"/>
  <c r="Q94" i="1"/>
  <c r="S603" i="1"/>
  <c r="Q286" i="1"/>
  <c r="Q403" i="1"/>
  <c r="K191" i="1"/>
  <c r="K493" i="1"/>
  <c r="K212" i="1"/>
  <c r="K239" i="1"/>
  <c r="I69" i="1"/>
  <c r="I214" i="1"/>
  <c r="K207" i="1"/>
  <c r="R380" i="1"/>
  <c r="R596" i="1"/>
  <c r="Q18" i="1"/>
  <c r="I186" i="1"/>
  <c r="I55" i="1"/>
  <c r="I497" i="1"/>
  <c r="I35" i="1"/>
  <c r="I266" i="1"/>
  <c r="I83" i="1"/>
  <c r="Q359" i="1"/>
  <c r="I230" i="1"/>
  <c r="Q167" i="1"/>
  <c r="I94" i="1"/>
  <c r="Q528" i="1"/>
  <c r="I644" i="1"/>
  <c r="I153" i="1"/>
  <c r="I193" i="1"/>
  <c r="S256" i="1"/>
  <c r="I179" i="1"/>
  <c r="I169" i="1"/>
  <c r="I481" i="1"/>
  <c r="I483" i="1"/>
  <c r="I272" i="1"/>
  <c r="I409" i="1"/>
  <c r="Q205" i="1"/>
  <c r="I594" i="1"/>
  <c r="Q512" i="1"/>
  <c r="Q542" i="1"/>
  <c r="I472" i="1"/>
  <c r="L180" i="1"/>
  <c r="I509" i="1"/>
  <c r="R217" i="1"/>
  <c r="K220" i="1"/>
  <c r="I187" i="1"/>
  <c r="R603" i="1"/>
  <c r="K237" i="1"/>
  <c r="Q519" i="1"/>
  <c r="I611" i="1"/>
  <c r="S189" i="1"/>
  <c r="Q4" i="1"/>
  <c r="I121" i="1"/>
  <c r="I226" i="1"/>
  <c r="I32" i="1"/>
  <c r="S503" i="1"/>
  <c r="I373" i="1"/>
  <c r="R500" i="1"/>
  <c r="Q540" i="1"/>
  <c r="J472" i="1"/>
  <c r="I296" i="1"/>
  <c r="L238" i="1"/>
  <c r="I641" i="1"/>
  <c r="K542" i="1"/>
  <c r="J112" i="1"/>
  <c r="Q352" i="1"/>
  <c r="Q252" i="1"/>
  <c r="Q232" i="1"/>
  <c r="L213" i="1"/>
  <c r="Q484" i="1"/>
  <c r="I521" i="1"/>
  <c r="S230" i="1"/>
  <c r="I341" i="1"/>
  <c r="R318" i="1"/>
  <c r="I136" i="1"/>
  <c r="K234" i="1"/>
  <c r="K547" i="1"/>
  <c r="I251" i="1"/>
  <c r="Q272" i="1"/>
  <c r="Q514" i="1"/>
  <c r="I412" i="1"/>
  <c r="Q556" i="1"/>
  <c r="I254" i="1"/>
  <c r="Q423" i="1"/>
  <c r="L183" i="1"/>
  <c r="Q238" i="1"/>
  <c r="K238" i="1"/>
  <c r="J543" i="1"/>
  <c r="L216" i="1"/>
  <c r="J373" i="1"/>
  <c r="R225" i="1"/>
  <c r="L263" i="1"/>
  <c r="K227" i="1"/>
  <c r="I574" i="1"/>
  <c r="R95" i="1"/>
  <c r="I397" i="1"/>
  <c r="I365" i="1"/>
  <c r="R341" i="1"/>
  <c r="R364" i="1"/>
  <c r="I579" i="1"/>
  <c r="J367" i="1"/>
  <c r="Q513" i="1"/>
  <c r="R510" i="1"/>
  <c r="S508" i="1"/>
  <c r="Q560" i="1"/>
  <c r="I403" i="1"/>
  <c r="Q74" i="1"/>
  <c r="Q32" i="1"/>
  <c r="Q345" i="1"/>
  <c r="Q170" i="1"/>
  <c r="J362" i="1"/>
  <c r="I525" i="1"/>
  <c r="J99" i="1"/>
  <c r="I572" i="1"/>
  <c r="R493" i="1"/>
  <c r="I129" i="1"/>
  <c r="R589" i="1"/>
  <c r="Q213" i="1"/>
  <c r="R239" i="1"/>
  <c r="Q92" i="1"/>
  <c r="J515" i="1"/>
  <c r="R582" i="1"/>
  <c r="K201" i="1"/>
  <c r="Q534" i="1"/>
  <c r="K602" i="1"/>
  <c r="Q45" i="1"/>
  <c r="I702" i="1"/>
  <c r="Q470" i="1"/>
  <c r="S188" i="1"/>
  <c r="Q317" i="1"/>
  <c r="T186" i="1"/>
  <c r="Q475" i="1"/>
  <c r="I587" i="1"/>
  <c r="R70" i="1"/>
  <c r="Q217" i="1"/>
  <c r="S486" i="1"/>
  <c r="R549" i="1"/>
  <c r="I221" i="1"/>
  <c r="I456" i="1"/>
  <c r="I95" i="1"/>
  <c r="R374" i="1"/>
  <c r="K556" i="1"/>
  <c r="S229" i="1"/>
  <c r="Q130" i="1"/>
  <c r="Q557" i="1"/>
  <c r="R73" i="1"/>
  <c r="Q421" i="1"/>
  <c r="T254" i="1"/>
  <c r="R84" i="1"/>
  <c r="I650" i="1"/>
  <c r="I439" i="1"/>
  <c r="I198" i="1"/>
  <c r="K478" i="1"/>
  <c r="J86" i="1"/>
  <c r="Q26" i="1"/>
  <c r="I698" i="1"/>
  <c r="T180" i="1"/>
  <c r="T204" i="1"/>
  <c r="I491" i="1"/>
  <c r="R481" i="1"/>
  <c r="I686" i="1"/>
  <c r="R478" i="1"/>
  <c r="Q97" i="1"/>
  <c r="Q671" i="1"/>
  <c r="J601" i="1"/>
  <c r="Q591" i="1"/>
  <c r="J63" i="1"/>
  <c r="K599" i="1"/>
  <c r="J114" i="1"/>
  <c r="T193" i="1"/>
  <c r="R331" i="1"/>
  <c r="T251" i="1"/>
  <c r="J81" i="1"/>
  <c r="R470" i="1"/>
  <c r="J207" i="1"/>
  <c r="Q502" i="1"/>
  <c r="I54" i="1"/>
  <c r="I60" i="1"/>
  <c r="I300" i="1"/>
  <c r="S512" i="1"/>
  <c r="I61" i="1"/>
  <c r="T194" i="1"/>
  <c r="S558" i="1"/>
  <c r="I122" i="1"/>
  <c r="Q454" i="1"/>
  <c r="I571" i="1"/>
  <c r="J74" i="1"/>
  <c r="R251" i="1"/>
  <c r="Q237" i="1"/>
  <c r="J539" i="1"/>
  <c r="Q537" i="1"/>
  <c r="Q135" i="1"/>
  <c r="Q194" i="1"/>
  <c r="J256" i="1"/>
  <c r="Q632" i="1"/>
  <c r="Q388" i="1"/>
  <c r="Q264" i="1"/>
  <c r="T185" i="1"/>
  <c r="R562" i="1"/>
  <c r="Q379" i="1"/>
  <c r="J506" i="1"/>
  <c r="R605" i="1"/>
  <c r="I97" i="1"/>
  <c r="R314" i="1"/>
  <c r="R371" i="1"/>
  <c r="I545" i="1"/>
  <c r="Q453" i="1"/>
  <c r="S193" i="1"/>
  <c r="K213" i="1"/>
  <c r="J377" i="1"/>
  <c r="Q308" i="1"/>
  <c r="R505" i="1"/>
  <c r="J200" i="1"/>
  <c r="R476" i="1"/>
  <c r="I344" i="1"/>
  <c r="I486" i="1"/>
  <c r="I367" i="1"/>
  <c r="I621" i="1"/>
  <c r="R586" i="1"/>
  <c r="L189" i="1"/>
  <c r="Q504" i="1"/>
  <c r="S182" i="1"/>
  <c r="K572" i="1"/>
  <c r="R320" i="1"/>
  <c r="K210" i="1"/>
  <c r="I356" i="1"/>
  <c r="I534" i="1"/>
  <c r="I120" i="1"/>
  <c r="Q538" i="1"/>
  <c r="Q399" i="1"/>
  <c r="R196" i="1"/>
  <c r="S525" i="1"/>
  <c r="R205" i="1"/>
  <c r="I249" i="1"/>
  <c r="J498" i="1"/>
  <c r="I399" i="1"/>
  <c r="J478" i="1"/>
  <c r="I708" i="1"/>
  <c r="Q539" i="1"/>
  <c r="Q627" i="1"/>
  <c r="R231" i="1"/>
  <c r="Q641" i="1"/>
  <c r="I326" i="1"/>
  <c r="Q101" i="1"/>
  <c r="K215" i="1"/>
  <c r="S568" i="1"/>
  <c r="Q275" i="1"/>
  <c r="I358" i="1"/>
  <c r="I719" i="1"/>
  <c r="K263" i="1"/>
  <c r="R537" i="1"/>
  <c r="J511" i="1"/>
  <c r="J354" i="1"/>
  <c r="I437" i="1"/>
  <c r="R193" i="1"/>
  <c r="I558" i="1"/>
  <c r="J325" i="1"/>
  <c r="J504" i="1"/>
  <c r="I229" i="1"/>
  <c r="Q506" i="1"/>
  <c r="S564" i="1"/>
  <c r="Q181" i="1"/>
  <c r="J261" i="1"/>
  <c r="S578" i="1"/>
  <c r="L255" i="1"/>
  <c r="I416" i="1"/>
  <c r="K509" i="1"/>
  <c r="I514" i="1"/>
  <c r="S470" i="1"/>
  <c r="T249" i="1"/>
  <c r="I46" i="1"/>
  <c r="Q174" i="1"/>
  <c r="I516" i="1"/>
  <c r="R74" i="1"/>
  <c r="I687" i="1"/>
  <c r="T205" i="1"/>
  <c r="R490" i="1"/>
  <c r="Q426" i="1"/>
  <c r="Q664" i="1"/>
  <c r="L253" i="1"/>
  <c r="J524" i="1"/>
  <c r="I17" i="1"/>
  <c r="K214" i="1"/>
  <c r="R559" i="1"/>
  <c r="R342" i="1"/>
  <c r="Q447" i="1"/>
  <c r="Q576" i="1"/>
  <c r="Q419" i="1"/>
  <c r="R598" i="1"/>
  <c r="I299" i="1"/>
  <c r="Q442" i="1"/>
  <c r="Q332" i="1"/>
  <c r="I244" i="1"/>
  <c r="I417" i="1"/>
  <c r="R587" i="1"/>
  <c r="J510" i="1"/>
  <c r="J85" i="1"/>
  <c r="J71" i="1"/>
  <c r="Q116" i="1"/>
  <c r="I245" i="1"/>
  <c r="S599" i="1"/>
  <c r="I517" i="1"/>
  <c r="R97" i="1"/>
  <c r="I363" i="1"/>
  <c r="K605" i="1"/>
  <c r="J192" i="1"/>
  <c r="J189" i="1"/>
  <c r="S196" i="1"/>
  <c r="Q483" i="1"/>
  <c r="I86" i="1"/>
  <c r="I194" i="1"/>
  <c r="I680" i="1"/>
  <c r="I68" i="1"/>
  <c r="R600" i="1"/>
  <c r="I52" i="1"/>
  <c r="I349" i="1"/>
  <c r="L207" i="1"/>
  <c r="S576" i="1"/>
  <c r="S259" i="1"/>
  <c r="R330" i="1"/>
  <c r="K232" i="1"/>
  <c r="I678" i="1"/>
  <c r="Q437" i="1"/>
  <c r="R593" i="1"/>
  <c r="I722" i="1"/>
  <c r="I617" i="1"/>
  <c r="Q465" i="1"/>
  <c r="Q670" i="1"/>
  <c r="I127" i="1"/>
  <c r="J91" i="1"/>
  <c r="J95" i="1"/>
  <c r="I623" i="1"/>
  <c r="J102" i="1"/>
  <c r="Q631" i="1"/>
  <c r="R359" i="1"/>
  <c r="Q334" i="1"/>
  <c r="Q299" i="1"/>
  <c r="Q500" i="1"/>
  <c r="T263" i="1"/>
  <c r="J368" i="1"/>
  <c r="Q398" i="1"/>
  <c r="R236" i="1"/>
  <c r="S504" i="1"/>
  <c r="Q383" i="1"/>
  <c r="J525" i="1"/>
  <c r="S251" i="1"/>
  <c r="I40" i="1"/>
  <c r="J604" i="1"/>
  <c r="J188" i="1"/>
  <c r="K483" i="1"/>
  <c r="L201" i="1"/>
  <c r="R571" i="1"/>
  <c r="Q106" i="1"/>
  <c r="R92" i="1"/>
  <c r="Q201" i="1"/>
  <c r="J214" i="1"/>
  <c r="L233" i="1"/>
  <c r="Q21" i="1"/>
  <c r="I27" i="1"/>
  <c r="R506" i="1"/>
  <c r="I126" i="1"/>
  <c r="I645" i="1"/>
  <c r="I503" i="1"/>
  <c r="S180" i="1"/>
  <c r="J73" i="1"/>
  <c r="J198" i="1"/>
  <c r="R333" i="1"/>
  <c r="I276" i="1"/>
  <c r="I315" i="1"/>
  <c r="I124" i="1"/>
  <c r="I578" i="1"/>
  <c r="K523" i="1"/>
  <c r="Q566" i="1"/>
  <c r="R604" i="1"/>
  <c r="I389" i="1"/>
  <c r="T209" i="1"/>
  <c r="J226" i="1"/>
  <c r="J359" i="1"/>
  <c r="Q247" i="1"/>
  <c r="I161" i="1"/>
  <c r="R473" i="1"/>
  <c r="Q668" i="1"/>
  <c r="J507" i="1"/>
  <c r="I452" i="1"/>
  <c r="R120" i="1"/>
  <c r="Q378" i="1"/>
  <c r="Q193" i="1"/>
  <c r="J246" i="1"/>
  <c r="Q188" i="1"/>
  <c r="R191" i="1"/>
  <c r="K589" i="1"/>
  <c r="I203" i="1"/>
  <c r="K504" i="1"/>
  <c r="S584" i="1"/>
  <c r="I31" i="1"/>
  <c r="T239" i="1"/>
  <c r="R583" i="1"/>
  <c r="I333" i="1"/>
  <c r="I714" i="1"/>
  <c r="S549" i="1"/>
  <c r="I38" i="1"/>
  <c r="Q621" i="1"/>
  <c r="R69" i="1"/>
  <c r="J608" i="1"/>
  <c r="L199" i="1"/>
  <c r="R188" i="1"/>
  <c r="I279" i="1"/>
  <c r="Q182" i="1"/>
  <c r="I258" i="1"/>
  <c r="T256" i="1"/>
  <c r="Q669" i="1"/>
  <c r="S493" i="1"/>
  <c r="Q56" i="1"/>
  <c r="K206" i="1"/>
  <c r="S479" i="1"/>
  <c r="I217" i="1"/>
  <c r="K475" i="1"/>
  <c r="I683" i="1"/>
  <c r="J374" i="1"/>
  <c r="K240" i="1"/>
  <c r="Q619" i="1"/>
  <c r="J255" i="1"/>
  <c r="I64" i="1"/>
  <c r="L187" i="1"/>
  <c r="J479" i="1"/>
  <c r="R382" i="1"/>
  <c r="J180" i="1"/>
  <c r="S505" i="1"/>
  <c r="Q51" i="1"/>
  <c r="K519" i="1"/>
  <c r="S211" i="1"/>
  <c r="S535" i="1"/>
  <c r="S225" i="1"/>
  <c r="L220" i="1"/>
  <c r="Q67" i="1"/>
  <c r="J360" i="1"/>
  <c r="K571" i="1"/>
  <c r="S261" i="1"/>
  <c r="J361" i="1"/>
  <c r="K194" i="1"/>
  <c r="Q324" i="1"/>
  <c r="R563" i="1"/>
  <c r="S557" i="1"/>
  <c r="R334" i="1"/>
  <c r="Q154" i="1"/>
  <c r="S496" i="1"/>
  <c r="J348" i="1"/>
  <c r="Q713" i="1"/>
  <c r="Q427" i="1"/>
  <c r="I335" i="1"/>
  <c r="R361" i="1"/>
  <c r="I188" i="1"/>
  <c r="Q590" i="1"/>
  <c r="Q199" i="1"/>
  <c r="R378" i="1"/>
  <c r="I141" i="1"/>
  <c r="Q584" i="1"/>
  <c r="Q525" i="1"/>
  <c r="J199" i="1"/>
  <c r="Q473" i="1"/>
  <c r="R246" i="1"/>
  <c r="Q531" i="1"/>
  <c r="Q401" i="1"/>
  <c r="Q724" i="1"/>
  <c r="K492" i="1"/>
  <c r="R531" i="1"/>
  <c r="R222" i="1"/>
  <c r="Q202" i="1"/>
  <c r="J545" i="1"/>
  <c r="J482" i="1"/>
  <c r="J194" i="1"/>
  <c r="J212" i="1"/>
  <c r="J546" i="1"/>
  <c r="Q387" i="1"/>
  <c r="K527" i="1"/>
  <c r="T243" i="1"/>
  <c r="Q665" i="1"/>
  <c r="Q443" i="1"/>
  <c r="J607" i="1"/>
  <c r="J107" i="1"/>
  <c r="Q242" i="1"/>
  <c r="K184" i="1"/>
  <c r="I331" i="1"/>
  <c r="J185" i="1"/>
  <c r="T225" i="1"/>
  <c r="I629" i="1"/>
  <c r="R248" i="1"/>
  <c r="Q391" i="1"/>
  <c r="K188" i="1"/>
  <c r="S541" i="1"/>
  <c r="R109" i="1"/>
  <c r="J89" i="1"/>
  <c r="J242" i="1"/>
  <c r="Q521" i="1"/>
  <c r="I601" i="1"/>
  <c r="I626" i="1"/>
  <c r="Q370" i="1"/>
  <c r="Q198" i="1"/>
  <c r="T260" i="1"/>
  <c r="J249" i="1"/>
  <c r="Q338" i="1"/>
  <c r="I407" i="1"/>
  <c r="K588" i="1"/>
  <c r="R255" i="1"/>
  <c r="I647" i="1"/>
  <c r="I204" i="1"/>
  <c r="Q719" i="1"/>
  <c r="Q328" i="1"/>
  <c r="J351" i="1"/>
  <c r="Q438" i="1"/>
  <c r="S502" i="1"/>
  <c r="R249" i="1"/>
  <c r="K581" i="1"/>
  <c r="T219" i="1"/>
  <c r="R485" i="1"/>
  <c r="Q682" i="1"/>
  <c r="J232" i="1"/>
  <c r="L261" i="1"/>
  <c r="S244" i="1"/>
  <c r="I688" i="1"/>
  <c r="Q652" i="1"/>
  <c r="Q382" i="1"/>
  <c r="I144" i="1"/>
  <c r="Q710" i="1"/>
  <c r="J122" i="1"/>
  <c r="S510" i="1"/>
  <c r="Q152" i="1"/>
  <c r="K254" i="1"/>
  <c r="Q331" i="1"/>
  <c r="Q69" i="1"/>
  <c r="L250" i="1"/>
  <c r="K495" i="1"/>
  <c r="K241" i="1"/>
  <c r="J252" i="1"/>
  <c r="J363" i="1"/>
  <c r="R354" i="1"/>
  <c r="J316" i="1"/>
  <c r="I87" i="1"/>
  <c r="K260" i="1"/>
  <c r="J223" i="1"/>
  <c r="Q586" i="1"/>
  <c r="I338" i="1"/>
  <c r="I93" i="1"/>
  <c r="T191" i="1"/>
  <c r="I697" i="1"/>
  <c r="Q184" i="1"/>
  <c r="R76" i="1"/>
  <c r="I537" i="1"/>
  <c r="K531" i="1"/>
  <c r="R116" i="1"/>
  <c r="K180" i="1"/>
  <c r="I29" i="1"/>
  <c r="I280" i="1"/>
  <c r="J101" i="1"/>
  <c r="Q532" i="1"/>
  <c r="I544" i="1"/>
  <c r="I390" i="1"/>
  <c r="S488" i="1"/>
  <c r="I62" i="1"/>
  <c r="R200" i="1"/>
  <c r="Q611" i="1"/>
  <c r="Q86" i="1"/>
  <c r="J106" i="1"/>
  <c r="J67" i="1"/>
  <c r="S257" i="1"/>
  <c r="Q150" i="1"/>
  <c r="Q700" i="1"/>
  <c r="R86" i="1"/>
  <c r="R209" i="1"/>
  <c r="I101" i="1"/>
  <c r="S248" i="1"/>
  <c r="J250" i="1"/>
  <c r="K235" i="1"/>
  <c r="Q362" i="1"/>
  <c r="S608" i="1"/>
  <c r="T210" i="1"/>
  <c r="Q681" i="1"/>
  <c r="I267" i="1"/>
  <c r="S487" i="1"/>
  <c r="R340" i="1"/>
  <c r="K508" i="1"/>
  <c r="R190" i="1"/>
  <c r="Q339" i="1"/>
  <c r="J238" i="1"/>
  <c r="I77" i="1"/>
  <c r="K187" i="1"/>
  <c r="I56" i="1"/>
  <c r="T202" i="1"/>
  <c r="I37" i="1"/>
  <c r="T199" i="1"/>
  <c r="Q221" i="1"/>
  <c r="I329" i="1"/>
  <c r="Q618" i="1"/>
  <c r="R336" i="1"/>
  <c r="R576" i="1"/>
  <c r="J111" i="1"/>
  <c r="K528" i="1"/>
  <c r="J535" i="1"/>
  <c r="T200" i="1"/>
  <c r="S515" i="1"/>
  <c r="R206" i="1"/>
  <c r="K229" i="1"/>
  <c r="R384" i="1"/>
  <c r="K230" i="1"/>
  <c r="S245" i="1"/>
  <c r="I381" i="1"/>
  <c r="R528" i="1"/>
  <c r="Q524" i="1"/>
  <c r="R532" i="1"/>
  <c r="K513" i="1"/>
  <c r="I570" i="1"/>
  <c r="I355" i="1"/>
  <c r="R230" i="1"/>
  <c r="K499" i="1"/>
  <c r="I433" i="1"/>
  <c r="I36" i="1"/>
  <c r="Q568" i="1"/>
  <c r="R556" i="1"/>
  <c r="Q715" i="1"/>
  <c r="I246" i="1"/>
  <c r="J100" i="1"/>
  <c r="I41" i="1"/>
  <c r="I377" i="1"/>
  <c r="Q653" i="1"/>
  <c r="Q571" i="1"/>
  <c r="I577" i="1"/>
  <c r="I111" i="1"/>
  <c r="I12" i="1"/>
  <c r="Q103" i="1"/>
  <c r="R356" i="1"/>
  <c r="K557" i="1"/>
  <c r="J84" i="1"/>
  <c r="Q620" i="1"/>
  <c r="Q25" i="1"/>
  <c r="R508" i="1"/>
  <c r="Q6" i="1"/>
  <c r="I569" i="1"/>
  <c r="S582" i="1"/>
  <c r="I98" i="1"/>
  <c r="R215" i="1"/>
  <c r="I550" i="1"/>
  <c r="I265" i="1"/>
  <c r="L252" i="1"/>
  <c r="T226" i="1"/>
  <c r="Q77" i="1"/>
  <c r="S254" i="1"/>
  <c r="I370" i="1"/>
  <c r="Q263" i="1"/>
  <c r="K570" i="1"/>
  <c r="R492" i="1"/>
  <c r="K197" i="1"/>
  <c r="R578" i="1"/>
  <c r="Q589" i="1"/>
  <c r="Q698" i="1"/>
  <c r="J183" i="1"/>
  <c r="I132" i="1"/>
  <c r="I638" i="1"/>
  <c r="R520" i="1"/>
  <c r="J190" i="1"/>
  <c r="L206" i="1"/>
  <c r="T245" i="1"/>
  <c r="K582" i="1"/>
  <c r="Q503" i="1"/>
  <c r="Q200" i="1"/>
  <c r="R324" i="1"/>
  <c r="I583" i="1"/>
  <c r="R88" i="1"/>
  <c r="I25" i="1"/>
  <c r="I105" i="1"/>
  <c r="Q558" i="1"/>
  <c r="T190" i="1"/>
  <c r="I414" i="1"/>
  <c r="R514" i="1"/>
  <c r="J121" i="1"/>
  <c r="I586" i="1"/>
  <c r="Q430" i="1"/>
  <c r="K209" i="1"/>
  <c r="Q511" i="1"/>
  <c r="K500" i="1"/>
  <c r="J205" i="1"/>
  <c r="Q476" i="1"/>
  <c r="J357" i="1"/>
  <c r="I679" i="1"/>
  <c r="J337" i="1"/>
  <c r="I419" i="1"/>
  <c r="J213" i="1"/>
  <c r="Q599" i="1"/>
  <c r="S591" i="1"/>
  <c r="I260" i="1"/>
  <c r="I620" i="1"/>
  <c r="R241" i="1"/>
  <c r="S481" i="1"/>
  <c r="Q110" i="1"/>
  <c r="J218" i="1"/>
  <c r="I191" i="1"/>
  <c r="I180" i="1"/>
  <c r="Q65" i="1"/>
  <c r="S258" i="1"/>
  <c r="S595" i="1"/>
  <c r="J197" i="1"/>
  <c r="I334" i="1"/>
  <c r="I271" i="1"/>
  <c r="R601" i="1"/>
  <c r="Q343" i="1"/>
  <c r="J541" i="1"/>
  <c r="Q164" i="1"/>
  <c r="K258" i="1"/>
  <c r="J501" i="1"/>
  <c r="I238" i="1"/>
  <c r="Q648" i="1"/>
  <c r="Q433" i="1"/>
  <c r="Q520" i="1"/>
  <c r="J375" i="1"/>
  <c r="R180" i="1"/>
  <c r="R548" i="1"/>
  <c r="J547" i="1"/>
  <c r="Q54" i="1"/>
  <c r="Q588" i="1"/>
  <c r="S567" i="1"/>
  <c r="I557" i="1"/>
  <c r="I464" i="1"/>
  <c r="Q20" i="1"/>
  <c r="Q550" i="1"/>
  <c r="I14" i="1"/>
  <c r="R326" i="1"/>
  <c r="I190" i="1"/>
  <c r="R542" i="1"/>
  <c r="R487" i="1"/>
  <c r="I442" i="1"/>
  <c r="I9" i="1"/>
  <c r="S482" i="1"/>
  <c r="Q585" i="1"/>
  <c r="K216" i="1"/>
  <c r="J500" i="1"/>
  <c r="I455" i="1"/>
  <c r="T222" i="1"/>
  <c r="Q155" i="1"/>
  <c r="Q581" i="1"/>
  <c r="L210" i="1"/>
  <c r="Q467" i="1"/>
  <c r="J314" i="1"/>
  <c r="S498" i="1"/>
  <c r="R515" i="1"/>
  <c r="I421" i="1"/>
  <c r="Q413" i="1"/>
  <c r="Q375" i="1"/>
  <c r="T223" i="1"/>
  <c r="Q186" i="1"/>
  <c r="R208" i="1"/>
  <c r="Q625" i="1"/>
  <c r="S553" i="1"/>
  <c r="J476" i="1"/>
  <c r="S533" i="1"/>
  <c r="Q305" i="1"/>
  <c r="I658" i="1"/>
  <c r="I582" i="1"/>
  <c r="L230" i="1"/>
  <c r="I294" i="1"/>
  <c r="Q271" i="1"/>
  <c r="J62" i="1"/>
  <c r="Q52" i="1"/>
  <c r="K219" i="1"/>
  <c r="L247" i="1"/>
  <c r="S604" i="1"/>
  <c r="I627" i="1"/>
  <c r="Q224" i="1"/>
  <c r="I286" i="1"/>
  <c r="I636" i="1"/>
  <c r="Q82" i="1"/>
  <c r="Q43" i="1"/>
  <c r="R67" i="1"/>
  <c r="I380" i="1"/>
  <c r="I206" i="1"/>
  <c r="J234" i="1"/>
  <c r="J590" i="1"/>
  <c r="R60" i="1"/>
  <c r="R104" i="1"/>
  <c r="Q16" i="1"/>
  <c r="R344" i="1"/>
  <c r="J484" i="1"/>
  <c r="K236" i="1"/>
  <c r="S214" i="1"/>
  <c r="I506" i="1"/>
  <c r="Q215" i="1"/>
  <c r="J488" i="1"/>
  <c r="Q640" i="1"/>
  <c r="Q486" i="1"/>
  <c r="R362" i="1"/>
  <c r="S579" i="1"/>
  <c r="L240" i="1"/>
  <c r="I595" i="1"/>
  <c r="K225" i="1"/>
  <c r="Q448" i="1"/>
  <c r="J576" i="1"/>
  <c r="I103" i="1"/>
  <c r="R186" i="1"/>
  <c r="Q646" i="1"/>
  <c r="I724" i="1"/>
  <c r="I546" i="1"/>
  <c r="R121" i="1"/>
  <c r="Q351" i="1"/>
  <c r="K249" i="1"/>
  <c r="R78" i="1"/>
  <c r="K243" i="1"/>
  <c r="I533" i="1"/>
  <c r="Q301" i="1"/>
  <c r="I107" i="1"/>
  <c r="Q243" i="1"/>
  <c r="I718" i="1"/>
  <c r="K486" i="1"/>
  <c r="R585" i="1"/>
  <c r="S590" i="1"/>
  <c r="Q394" i="1"/>
  <c r="I524" i="1"/>
  <c r="J496" i="1"/>
  <c r="Q647" i="1"/>
  <c r="K198" i="1"/>
  <c r="I425" i="1"/>
  <c r="R229" i="1"/>
  <c r="Q530" i="1"/>
  <c r="J345" i="1"/>
  <c r="I277" i="1"/>
  <c r="Q140" i="1"/>
  <c r="L190" i="1"/>
  <c r="I604" i="1"/>
  <c r="K231" i="1"/>
  <c r="Q527" i="1"/>
  <c r="T253" i="1"/>
  <c r="Q148" i="1"/>
  <c r="Q479" i="1"/>
  <c r="S559" i="1"/>
  <c r="Q197" i="1"/>
  <c r="I445" i="1"/>
  <c r="K567" i="1"/>
  <c r="Q214" i="1"/>
  <c r="R329" i="1"/>
  <c r="I361" i="1"/>
  <c r="R184" i="1"/>
  <c r="Q445" i="1"/>
  <c r="L203" i="1"/>
  <c r="I663" i="1"/>
  <c r="Q723" i="1"/>
  <c r="R195" i="1"/>
  <c r="Q380" i="1"/>
  <c r="Q466" i="1"/>
  <c r="Q314" i="1"/>
  <c r="Q655" i="1"/>
  <c r="I288" i="1"/>
  <c r="Q80" i="1"/>
  <c r="I434" i="1"/>
  <c r="K256" i="1"/>
  <c r="I138" i="1"/>
  <c r="I243" i="1"/>
  <c r="I605" i="1"/>
  <c r="J201" i="1"/>
  <c r="S547" i="1"/>
  <c r="K524" i="1"/>
  <c r="Q643" i="1"/>
  <c r="I312" i="1"/>
  <c r="R551" i="1"/>
  <c r="I219" i="1"/>
  <c r="Q633" i="1"/>
  <c r="S194" i="1"/>
  <c r="I23" i="1"/>
  <c r="J97" i="1"/>
  <c r="Q126" i="1"/>
  <c r="I350" i="1"/>
  <c r="I317" i="1"/>
  <c r="J230" i="1"/>
  <c r="S190" i="1"/>
  <c r="L211" i="1"/>
  <c r="I681" i="1"/>
  <c r="Q397" i="1"/>
  <c r="I281" i="1"/>
  <c r="Q128" i="1"/>
  <c r="K195" i="1"/>
  <c r="Q156" i="1"/>
  <c r="Q9" i="1"/>
  <c r="S184" i="1"/>
  <c r="I241" i="1"/>
  <c r="S246" i="1"/>
  <c r="R207" i="1"/>
  <c r="R117" i="1"/>
  <c r="Q405" i="1"/>
  <c r="K558" i="1"/>
  <c r="I596" i="1"/>
  <c r="R525" i="1"/>
  <c r="Q436" i="1"/>
  <c r="I707" i="1"/>
  <c r="Q166" i="1"/>
  <c r="J594" i="1"/>
  <c r="R221" i="1"/>
  <c r="Q288" i="1"/>
  <c r="I467" i="1"/>
  <c r="Q666" i="1"/>
  <c r="I562" i="1"/>
  <c r="I316" i="1"/>
  <c r="I508" i="1"/>
  <c r="I147" i="1"/>
  <c r="R234" i="1"/>
  <c r="S536" i="1"/>
  <c r="I490" i="1"/>
  <c r="I429" i="1"/>
  <c r="Q17" i="1"/>
  <c r="Q260" i="1"/>
  <c r="Q132" i="1"/>
  <c r="Q481" i="1"/>
  <c r="S575" i="1"/>
  <c r="Q322" i="1"/>
  <c r="R349" i="1"/>
  <c r="K489" i="1"/>
  <c r="Q367" i="1"/>
  <c r="R77" i="1"/>
  <c r="I677" i="1"/>
  <c r="Q219" i="1"/>
  <c r="R350" i="1"/>
  <c r="J477" i="1"/>
  <c r="J182" i="1"/>
  <c r="T196" i="1"/>
  <c r="Q136" i="1"/>
  <c r="I106" i="1"/>
  <c r="I133" i="1"/>
  <c r="S527" i="1"/>
  <c r="I364" i="1"/>
  <c r="J587" i="1"/>
  <c r="I379" i="1"/>
  <c r="I588" i="1"/>
  <c r="Q210" i="1"/>
  <c r="Q153" i="1"/>
  <c r="Q491" i="1"/>
  <c r="R570" i="1"/>
  <c r="Q289" i="1"/>
  <c r="J474" i="1"/>
  <c r="R322" i="1"/>
  <c r="R375" i="1"/>
  <c r="Q229" i="1"/>
  <c r="L194" i="1"/>
  <c r="I615" i="1"/>
  <c r="R187" i="1"/>
  <c r="I201" i="1"/>
  <c r="I268" i="1"/>
  <c r="J83" i="1"/>
  <c r="R216" i="1"/>
  <c r="Q7" i="1"/>
  <c r="I657" i="1"/>
  <c r="Q536" i="1"/>
  <c r="I353" i="1"/>
  <c r="Q113" i="1"/>
  <c r="Q212" i="1"/>
  <c r="K192" i="1"/>
  <c r="Q694" i="1"/>
  <c r="I128" i="1"/>
  <c r="K248" i="1"/>
  <c r="S475" i="1"/>
  <c r="I530" i="1"/>
  <c r="K498" i="1"/>
  <c r="S213" i="1"/>
  <c r="K559" i="1"/>
  <c r="I262" i="1"/>
  <c r="I371" i="1"/>
  <c r="Q141" i="1"/>
  <c r="I716" i="1"/>
  <c r="Q358" i="1"/>
  <c r="R494" i="1"/>
  <c r="I635" i="1"/>
  <c r="I11" i="1"/>
  <c r="K491" i="1"/>
  <c r="Q544" i="1"/>
  <c r="I48" i="1"/>
  <c r="S220" i="1"/>
  <c r="J492" i="1"/>
  <c r="Q381" i="1"/>
  <c r="I411" i="1"/>
  <c r="Q125" i="1"/>
  <c r="S477" i="1"/>
  <c r="Q690" i="1"/>
  <c r="Q124" i="1"/>
  <c r="I290" i="1"/>
  <c r="R335" i="1"/>
  <c r="R379" i="1"/>
  <c r="S583" i="1"/>
  <c r="S570" i="1"/>
  <c r="K549" i="1"/>
  <c r="Q635" i="1"/>
  <c r="L208" i="1"/>
  <c r="J378" i="1"/>
  <c r="I515" i="1"/>
  <c r="I606" i="1"/>
  <c r="T259" i="1"/>
  <c r="L235" i="1"/>
  <c r="J552" i="1"/>
  <c r="Q189" i="1"/>
  <c r="S560" i="1"/>
  <c r="I500" i="1"/>
  <c r="Q157" i="1"/>
  <c r="Q564" i="1"/>
  <c r="S490" i="1"/>
  <c r="J376" i="1"/>
  <c r="K538" i="1"/>
  <c r="Q691" i="1"/>
  <c r="J64" i="1"/>
  <c r="R499" i="1"/>
  <c r="I339" i="1"/>
  <c r="J320" i="1"/>
  <c r="K606" i="1"/>
  <c r="I292" i="1"/>
  <c r="I205" i="1"/>
  <c r="K551" i="1"/>
  <c r="Q89" i="1"/>
  <c r="Q374" i="1"/>
  <c r="R338" i="1"/>
  <c r="J347" i="1"/>
  <c r="I212" i="1"/>
  <c r="R376" i="1"/>
  <c r="J559" i="1"/>
  <c r="I422" i="1"/>
  <c r="Q614" i="1"/>
  <c r="I648" i="1"/>
  <c r="K185" i="1"/>
  <c r="I585" i="1"/>
  <c r="R491" i="1"/>
  <c r="Q310" i="1"/>
  <c r="Q543" i="1"/>
  <c r="I711" i="1"/>
  <c r="Q297" i="1"/>
  <c r="Q225" i="1"/>
  <c r="R258" i="1"/>
  <c r="Q636" i="1"/>
  <c r="I392" i="1"/>
  <c r="J191" i="1"/>
  <c r="Q257" i="1"/>
  <c r="J103" i="1"/>
  <c r="I158" i="1"/>
  <c r="Q122" i="1"/>
  <c r="R197" i="1"/>
  <c r="I496" i="1"/>
  <c r="I396" i="1"/>
  <c r="Q393" i="1"/>
  <c r="S200" i="1"/>
  <c r="J338" i="1"/>
  <c r="J80" i="1"/>
  <c r="Q277" i="1"/>
  <c r="K252" i="1"/>
  <c r="I270" i="1"/>
  <c r="I325" i="1"/>
  <c r="J108" i="1"/>
  <c r="Q91" i="1"/>
  <c r="I610" i="1"/>
  <c r="K596" i="1"/>
  <c r="R352" i="1"/>
  <c r="I498" i="1"/>
  <c r="S561" i="1"/>
  <c r="I420" i="1"/>
  <c r="I474" i="1"/>
  <c r="J577" i="1"/>
  <c r="T250" i="1"/>
  <c r="S234" i="1"/>
  <c r="I622" i="1"/>
  <c r="S550" i="1"/>
  <c r="R579" i="1"/>
  <c r="K473" i="1"/>
  <c r="R247" i="1"/>
  <c r="I694" i="1"/>
  <c r="Q562" i="1"/>
  <c r="J104" i="1"/>
  <c r="J372" i="1"/>
  <c r="J90" i="1"/>
  <c r="K222" i="1"/>
  <c r="Q321" i="1"/>
  <c r="Q34" i="1"/>
  <c r="I387" i="1"/>
  <c r="K471" i="1"/>
  <c r="I337" i="1"/>
  <c r="T220" i="1"/>
  <c r="I473" i="1"/>
  <c r="S562" i="1"/>
  <c r="Q355" i="1"/>
  <c r="J365" i="1"/>
  <c r="I90" i="1"/>
  <c r="I131" i="1"/>
  <c r="S581" i="1"/>
  <c r="I614" i="1"/>
  <c r="I114" i="1"/>
  <c r="Q72" i="1"/>
  <c r="J358" i="1"/>
  <c r="S198" i="1"/>
  <c r="K482" i="1"/>
  <c r="I102" i="1"/>
  <c r="R552" i="1"/>
  <c r="Q408" i="1"/>
  <c r="T203" i="1"/>
  <c r="I80" i="1"/>
  <c r="Q235" i="1"/>
  <c r="I634" i="1"/>
  <c r="Q457" i="1"/>
  <c r="I285" i="1"/>
  <c r="R224" i="1"/>
  <c r="S495" i="1"/>
  <c r="I549" i="1"/>
  <c r="S203" i="1"/>
  <c r="R539" i="1"/>
  <c r="R213" i="1"/>
  <c r="K182" i="1"/>
  <c r="I302" i="1"/>
  <c r="I701" i="1"/>
  <c r="T195" i="1"/>
  <c r="S529" i="1"/>
  <c r="Q138" i="1"/>
  <c r="J109" i="1"/>
  <c r="I157" i="1"/>
  <c r="J341" i="1"/>
  <c r="Q553" i="1"/>
  <c r="K183" i="1"/>
  <c r="S592" i="1"/>
  <c r="L257" i="1"/>
  <c r="J203" i="1"/>
  <c r="S526" i="1"/>
  <c r="Q66" i="1"/>
  <c r="Q145" i="1"/>
  <c r="I704" i="1"/>
  <c r="Q701" i="1"/>
  <c r="J204" i="1"/>
  <c r="I162" i="1"/>
  <c r="I116" i="1"/>
  <c r="Q40" i="1"/>
  <c r="K573" i="1"/>
  <c r="I135" i="1"/>
  <c r="S199" i="1"/>
  <c r="Q385" i="1"/>
  <c r="I642" i="1"/>
  <c r="Q313" i="1"/>
  <c r="I51" i="1"/>
  <c r="K580" i="1"/>
  <c r="Q615" i="1"/>
  <c r="I117" i="1"/>
  <c r="Q267" i="1"/>
  <c r="I454" i="1"/>
  <c r="K575" i="1"/>
  <c r="I478" i="1"/>
  <c r="Q105" i="1"/>
  <c r="I488" i="1"/>
  <c r="I682" i="1"/>
  <c r="J116" i="1"/>
  <c r="R85" i="1"/>
  <c r="S222" i="1"/>
  <c r="I44" i="1"/>
  <c r="Q48" i="1"/>
  <c r="K505" i="1"/>
  <c r="J355" i="1"/>
  <c r="Q33" i="1"/>
  <c r="I386" i="1"/>
  <c r="Q459" i="1"/>
  <c r="I172" i="1"/>
  <c r="S204" i="1"/>
  <c r="R65" i="1"/>
  <c r="Q115" i="1"/>
  <c r="I591" i="1"/>
  <c r="Q389" i="1"/>
  <c r="R118" i="1"/>
  <c r="S577" i="1"/>
  <c r="Q241" i="1"/>
  <c r="R518" i="1"/>
  <c r="I73" i="1"/>
  <c r="Q46" i="1"/>
  <c r="Q291" i="1"/>
  <c r="Q114" i="1"/>
  <c r="Q78" i="1"/>
  <c r="I263" i="1"/>
  <c r="R519" i="1"/>
  <c r="I171" i="1"/>
  <c r="R565" i="1"/>
  <c r="R538" i="1"/>
  <c r="R368" i="1"/>
  <c r="Q159" i="1"/>
  <c r="L229" i="1"/>
  <c r="R94" i="1"/>
  <c r="K510" i="1"/>
  <c r="L184" i="1"/>
  <c r="S522" i="1"/>
  <c r="I30" i="1"/>
  <c r="K259" i="1"/>
  <c r="I92" i="1"/>
  <c r="J530" i="1"/>
  <c r="J505" i="1"/>
  <c r="Q230" i="1"/>
  <c r="K548" i="1"/>
  <c r="S556" i="1"/>
  <c r="I637" i="1"/>
  <c r="J579" i="1"/>
  <c r="Q594" i="1"/>
  <c r="R521" i="1"/>
  <c r="Q570" i="1"/>
  <c r="L202" i="1"/>
  <c r="Q226" i="1"/>
  <c r="R561" i="1"/>
  <c r="Q417" i="1"/>
  <c r="I237" i="1"/>
  <c r="I343" i="1"/>
  <c r="Q429" i="1"/>
  <c r="K544" i="1"/>
  <c r="L193" i="1"/>
  <c r="J584" i="1"/>
  <c r="R201" i="1"/>
  <c r="I336" i="1"/>
  <c r="R372" i="1"/>
  <c r="S537" i="1"/>
  <c r="I426" i="1"/>
  <c r="Q597" i="1"/>
  <c r="R82" i="1"/>
  <c r="Q416" i="1"/>
  <c r="Q84" i="1"/>
  <c r="I274" i="1"/>
  <c r="Q659" i="1"/>
  <c r="K208" i="1"/>
  <c r="I156" i="1"/>
  <c r="J596" i="1"/>
  <c r="I5" i="1"/>
  <c r="T215" i="1"/>
  <c r="I523" i="1"/>
  <c r="I231" i="1"/>
  <c r="I383" i="1"/>
  <c r="S247" i="1"/>
  <c r="S500" i="1"/>
  <c r="Q657" i="1"/>
  <c r="I699" i="1"/>
  <c r="Q304" i="1"/>
  <c r="I565" i="1"/>
  <c r="I163" i="1"/>
  <c r="J317" i="1"/>
  <c r="I502" i="1"/>
  <c r="K552" i="1"/>
  <c r="I15" i="1"/>
  <c r="J371" i="1"/>
  <c r="Q127" i="1"/>
  <c r="I631" i="1"/>
  <c r="I560" i="1"/>
  <c r="J253" i="1"/>
  <c r="Q44" i="1"/>
  <c r="I89" i="1"/>
  <c r="S201" i="1"/>
  <c r="I590" i="1"/>
  <c r="Q41" i="1"/>
  <c r="S227" i="1"/>
  <c r="Q533" i="1"/>
  <c r="J572" i="1"/>
  <c r="I705" i="1"/>
  <c r="Q350" i="1"/>
  <c r="I250" i="1"/>
  <c r="K543" i="1"/>
  <c r="Q290" i="1"/>
  <c r="Q342" i="1"/>
  <c r="R383" i="1"/>
  <c r="S183" i="1"/>
  <c r="K193" i="1"/>
  <c r="Q13" i="1"/>
  <c r="R91" i="1"/>
  <c r="Q410" i="1"/>
  <c r="R185" i="1"/>
  <c r="J538" i="1"/>
  <c r="I505" i="1"/>
  <c r="R363" i="1"/>
  <c r="T240" i="1"/>
  <c r="J567" i="1"/>
  <c r="I33" i="1"/>
  <c r="S221" i="1"/>
  <c r="S243" i="1"/>
  <c r="Q696" i="1"/>
  <c r="I259" i="1"/>
  <c r="I653" i="1"/>
  <c r="R580" i="1"/>
  <c r="Q624" i="1"/>
  <c r="J573" i="1"/>
  <c r="I440" i="1"/>
  <c r="L239" i="1"/>
  <c r="Q273" i="1"/>
  <c r="Q175" i="1"/>
  <c r="Q471" i="1"/>
  <c r="R606" i="1"/>
  <c r="S205" i="1"/>
  <c r="K186" i="1"/>
  <c r="I581" i="1"/>
  <c r="I110" i="1"/>
  <c r="I710" i="1"/>
  <c r="I257" i="1"/>
  <c r="J344" i="1"/>
  <c r="S218" i="1"/>
  <c r="K189" i="1"/>
  <c r="S580" i="1"/>
  <c r="K218" i="1"/>
  <c r="J570" i="1"/>
  <c r="Q377" i="1"/>
  <c r="R80" i="1"/>
  <c r="I26" i="1"/>
  <c r="I330" i="1"/>
  <c r="R486" i="1"/>
  <c r="I721" i="1"/>
  <c r="I432" i="1"/>
  <c r="I328" i="1"/>
  <c r="T211" i="1"/>
  <c r="J499" i="1"/>
  <c r="Q474" i="1"/>
  <c r="I418" i="1"/>
  <c r="J586" i="1"/>
  <c r="R214" i="1"/>
  <c r="R317" i="1"/>
  <c r="J568" i="1"/>
  <c r="Q485" i="1"/>
  <c r="I553" i="1"/>
  <c r="I528" i="1"/>
  <c r="L259" i="1"/>
  <c r="J522" i="1"/>
  <c r="J589" i="1"/>
  <c r="I649" i="1"/>
  <c r="Q526" i="1"/>
  <c r="R119" i="1"/>
  <c r="I200" i="1"/>
  <c r="I624" i="1"/>
  <c r="Q236" i="1"/>
  <c r="I322" i="1"/>
  <c r="R237" i="1"/>
  <c r="R260" i="1"/>
  <c r="Q578" i="1"/>
  <c r="Q478" i="1"/>
  <c r="S253" i="1"/>
  <c r="J82" i="1"/>
  <c r="J528" i="1"/>
  <c r="Q295" i="1"/>
  <c r="Q679" i="1"/>
  <c r="J600" i="1"/>
  <c r="L254" i="1"/>
  <c r="Q203" i="1"/>
  <c r="R316" i="1"/>
  <c r="I197" i="1"/>
  <c r="Q704" i="1"/>
  <c r="Q163" i="1"/>
  <c r="K211" i="1"/>
  <c r="I18" i="1"/>
  <c r="R588" i="1"/>
  <c r="Q283" i="1"/>
  <c r="J473" i="1"/>
  <c r="I589" i="1"/>
  <c r="K490" i="1"/>
  <c r="J236" i="1"/>
  <c r="Q609" i="1"/>
  <c r="R315" i="1"/>
  <c r="Q38" i="1"/>
  <c r="J575" i="1"/>
  <c r="K564" i="1"/>
  <c r="R199" i="1"/>
  <c r="Q373" i="1"/>
  <c r="Q187" i="1"/>
  <c r="Q76" i="1"/>
  <c r="Q206" i="1"/>
  <c r="J537" i="1"/>
  <c r="I185" i="1"/>
  <c r="I252" i="1"/>
  <c r="J494" i="1"/>
  <c r="J211" i="1"/>
  <c r="S186" i="1"/>
  <c r="J565" i="1"/>
  <c r="I527" i="1"/>
  <c r="Q312" i="1"/>
  <c r="Q422" i="1"/>
  <c r="S239" i="1"/>
  <c r="Q356" i="1"/>
  <c r="J239" i="1"/>
  <c r="Q168" i="1"/>
  <c r="L237" i="1"/>
  <c r="I323" i="1"/>
  <c r="Q49" i="1"/>
  <c r="R343" i="1"/>
  <c r="L217" i="1"/>
  <c r="I113" i="1"/>
  <c r="Q285" i="1"/>
  <c r="J564" i="1"/>
  <c r="T208" i="1"/>
  <c r="J481" i="1"/>
  <c r="R357" i="1"/>
  <c r="I666" i="1"/>
  <c r="Q58" i="1"/>
  <c r="I287" i="1"/>
  <c r="I690" i="1"/>
  <c r="I706" i="1"/>
  <c r="K554" i="1"/>
  <c r="I208" i="1"/>
  <c r="I342" i="1"/>
  <c r="Q137" i="1"/>
  <c r="Q602" i="1"/>
  <c r="I215" i="1"/>
  <c r="S610" i="1"/>
  <c r="I81" i="1"/>
  <c r="I196" i="1"/>
  <c r="K476" i="1"/>
  <c r="I547" i="1"/>
  <c r="Q707" i="1"/>
  <c r="L186" i="1"/>
  <c r="K514" i="1"/>
  <c r="I458" i="1"/>
  <c r="T252" i="1"/>
  <c r="I382" i="1"/>
  <c r="J237" i="1"/>
  <c r="T218" i="1"/>
  <c r="Q83" i="1"/>
  <c r="Q218" i="1"/>
  <c r="R543" i="1"/>
  <c r="J483" i="1"/>
  <c r="R584" i="1"/>
  <c r="Q722" i="1"/>
  <c r="I20" i="1"/>
  <c r="R495" i="1"/>
  <c r="R547" i="1"/>
  <c r="I209" i="1"/>
  <c r="L245" i="1"/>
  <c r="S546" i="1"/>
  <c r="T206" i="1"/>
  <c r="J583" i="1"/>
  <c r="S588" i="1"/>
  <c r="Q306" i="1"/>
  <c r="S242" i="1"/>
  <c r="R102" i="1"/>
  <c r="Q165" i="1"/>
  <c r="S609" i="1"/>
  <c r="T262" i="1"/>
  <c r="I28" i="1"/>
  <c r="R594" i="1"/>
  <c r="K205" i="1"/>
  <c r="Q650" i="1"/>
  <c r="Q709" i="1"/>
  <c r="I603" i="1"/>
  <c r="J262" i="1"/>
  <c r="I643" i="1"/>
  <c r="Q256" i="1"/>
  <c r="R210" i="1"/>
  <c r="Q516" i="1"/>
  <c r="K233" i="1"/>
  <c r="I535" i="1"/>
  <c r="I513" i="1"/>
  <c r="Q642" i="1"/>
  <c r="Q464" i="1"/>
  <c r="Q293" i="1"/>
  <c r="I504" i="1"/>
  <c r="I460" i="1"/>
  <c r="T221" i="1"/>
  <c r="Q498" i="1"/>
  <c r="Q472" i="1"/>
  <c r="K603" i="1"/>
  <c r="J196" i="1"/>
  <c r="I119" i="1"/>
  <c r="I21" i="1"/>
  <c r="I431" i="1"/>
  <c r="T244" i="1"/>
  <c r="I332" i="1"/>
  <c r="J549" i="1"/>
  <c r="K202" i="1"/>
  <c r="Q100" i="1"/>
  <c r="Q662" i="1"/>
  <c r="J593" i="1"/>
  <c r="Q149" i="1"/>
  <c r="Q404" i="1"/>
  <c r="Q639" i="1"/>
  <c r="R332" i="1"/>
  <c r="J92" i="1"/>
  <c r="S507" i="1"/>
  <c r="S478" i="1"/>
  <c r="Q368" i="1"/>
  <c r="I444" i="1"/>
  <c r="T258" i="1"/>
  <c r="I372" i="1"/>
  <c r="J557" i="1"/>
  <c r="T216" i="1"/>
  <c r="I327" i="1"/>
  <c r="K587" i="1"/>
  <c r="I45" i="1"/>
  <c r="Q441" i="1"/>
  <c r="K196" i="1"/>
  <c r="R592" i="1"/>
  <c r="Q400" i="1"/>
  <c r="L232" i="1"/>
  <c r="Q57" i="1"/>
  <c r="J540" i="1"/>
  <c r="Q15" i="1"/>
  <c r="Q333" i="1"/>
  <c r="Q510" i="1"/>
  <c r="I49" i="1"/>
  <c r="K487" i="1"/>
  <c r="J331" i="1"/>
  <c r="S472" i="1"/>
  <c r="R358" i="1"/>
  <c r="I151" i="1"/>
  <c r="K522" i="1"/>
  <c r="I99" i="1"/>
  <c r="J487" i="1"/>
  <c r="I709" i="1"/>
  <c r="Q548" i="1"/>
  <c r="R79" i="1"/>
  <c r="K583" i="1"/>
  <c r="Q171" i="1"/>
  <c r="J486" i="1"/>
  <c r="I602" i="1"/>
  <c r="I112" i="1"/>
  <c r="Q634" i="1"/>
  <c r="Q112" i="1"/>
  <c r="Q371" i="1"/>
  <c r="J381" i="1"/>
  <c r="Q169" i="1"/>
  <c r="J202" i="1"/>
  <c r="Q246" i="1"/>
  <c r="S223" i="1"/>
  <c r="J342" i="1"/>
  <c r="I78" i="1"/>
  <c r="I700" i="1"/>
  <c r="Q108" i="1"/>
  <c r="Q320" i="1"/>
  <c r="J98" i="1"/>
  <c r="I676" i="1"/>
  <c r="L243" i="1"/>
  <c r="L227" i="1"/>
  <c r="Q702" i="1"/>
  <c r="R497" i="1"/>
  <c r="T233" i="1"/>
  <c r="I359" i="1"/>
  <c r="Q318" i="1"/>
  <c r="I202" i="1"/>
  <c r="Q348" i="1"/>
  <c r="I65" i="1"/>
  <c r="Q24" i="1"/>
  <c r="I448" i="1"/>
  <c r="Q577" i="1"/>
  <c r="S494" i="1"/>
  <c r="Q629" i="1"/>
  <c r="Q142" i="1"/>
  <c r="Q364" i="1"/>
  <c r="K477" i="1"/>
  <c r="S485" i="1"/>
  <c r="I538" i="1"/>
  <c r="K494" i="1"/>
  <c r="I305" i="1"/>
  <c r="I501" i="1"/>
  <c r="Q580" i="1"/>
  <c r="R111" i="1"/>
  <c r="J247" i="1"/>
  <c r="Q688" i="1"/>
  <c r="I104" i="1"/>
  <c r="I10" i="1"/>
  <c r="S569" i="1"/>
  <c r="I236" i="1"/>
  <c r="S565" i="1"/>
  <c r="R194" i="1"/>
  <c r="I360" i="1"/>
  <c r="I142" i="1"/>
  <c r="Q192" i="1"/>
  <c r="J533" i="1"/>
  <c r="I457" i="1"/>
  <c r="Q645" i="1"/>
  <c r="J259" i="1"/>
  <c r="Q718" i="1"/>
  <c r="I575" i="1"/>
  <c r="Q96" i="1"/>
  <c r="K250" i="1"/>
  <c r="I665" i="1"/>
  <c r="J217" i="1"/>
  <c r="I100" i="1"/>
  <c r="Q316" i="1"/>
  <c r="I216" i="1"/>
  <c r="I183" i="1"/>
  <c r="J520" i="1"/>
  <c r="S521" i="1"/>
  <c r="L226" i="1"/>
  <c r="Q340" i="1"/>
  <c r="K553" i="1"/>
  <c r="R319" i="1"/>
  <c r="R259" i="1"/>
  <c r="I239" i="1"/>
  <c r="J560" i="1"/>
  <c r="I79" i="1"/>
  <c r="I195" i="1"/>
  <c r="L214" i="1"/>
  <c r="I70" i="1"/>
  <c r="S532" i="1"/>
  <c r="I168" i="1"/>
  <c r="Q75" i="1"/>
  <c r="Q663" i="1"/>
  <c r="R373" i="1"/>
  <c r="Q522" i="1"/>
  <c r="J329" i="1"/>
  <c r="T231" i="1"/>
  <c r="Q239" i="1"/>
  <c r="R482" i="1"/>
  <c r="Q144" i="1"/>
  <c r="Q579" i="1"/>
  <c r="K245" i="1"/>
  <c r="S208" i="1"/>
  <c r="S566" i="1"/>
  <c r="R608" i="1"/>
  <c r="I275" i="1"/>
  <c r="J602" i="1"/>
  <c r="Q248" i="1"/>
  <c r="S260" i="1"/>
  <c r="S513" i="1"/>
  <c r="I314" i="1"/>
  <c r="Q606" i="1"/>
  <c r="J490" i="1"/>
  <c r="R346" i="1"/>
  <c r="Q47" i="1"/>
  <c r="S219" i="1"/>
  <c r="I192" i="1"/>
  <c r="I307" i="1"/>
  <c r="I512" i="1"/>
  <c r="J352" i="1"/>
  <c r="I366" i="1"/>
  <c r="Q10" i="1"/>
  <c r="R564" i="1"/>
  <c r="S202" i="1"/>
  <c r="Q178" i="1"/>
  <c r="I717" i="1"/>
  <c r="K507" i="1"/>
  <c r="R488" i="1"/>
  <c r="Q102" i="1"/>
  <c r="R597" i="1"/>
  <c r="I233" i="1"/>
  <c r="I362" i="1"/>
  <c r="Q60" i="1"/>
  <c r="K511" i="1"/>
  <c r="K595" i="1"/>
  <c r="R610" i="1"/>
  <c r="K221" i="1"/>
  <c r="I423" i="1"/>
  <c r="Q444" i="1"/>
  <c r="S212" i="1"/>
  <c r="S209" i="1"/>
  <c r="Q517" i="1"/>
  <c r="J597" i="1"/>
  <c r="Q209" i="1"/>
  <c r="J497" i="1"/>
  <c r="I405" i="1"/>
  <c r="I607" i="1"/>
  <c r="Q697" i="1"/>
  <c r="T257" i="1"/>
  <c r="Q176" i="1"/>
  <c r="I593" i="1"/>
  <c r="S226" i="1"/>
  <c r="I600" i="1"/>
  <c r="L246" i="1"/>
  <c r="I240" i="1"/>
  <c r="Q59" i="1"/>
  <c r="Q431" i="1"/>
  <c r="Q638" i="1"/>
  <c r="I519" i="1"/>
  <c r="T183" i="1"/>
  <c r="I357" i="1"/>
  <c r="I39" i="1"/>
  <c r="Q440" i="1"/>
  <c r="S534" i="1"/>
  <c r="Q183" i="1"/>
  <c r="J215" i="1"/>
  <c r="K497" i="1"/>
  <c r="R253" i="1"/>
  <c r="R572" i="1"/>
  <c r="Q179" i="1"/>
  <c r="K536" i="1"/>
  <c r="Q392" i="1"/>
  <c r="Q547" i="1"/>
  <c r="I348" i="1"/>
  <c r="I16" i="1"/>
  <c r="Q458" i="1"/>
  <c r="Q134" i="1"/>
  <c r="R263" i="1"/>
  <c r="R527" i="1"/>
  <c r="S192" i="1"/>
  <c r="T227" i="1"/>
  <c r="K228" i="1"/>
  <c r="I207" i="1"/>
  <c r="K224" i="1"/>
  <c r="K242" i="1"/>
  <c r="S235" i="1"/>
  <c r="S607" i="1"/>
  <c r="S605" i="1"/>
  <c r="S197" i="1"/>
  <c r="S543" i="1"/>
  <c r="J87" i="1"/>
  <c r="I319" i="1"/>
  <c r="Q493" i="1"/>
  <c r="J527" i="1"/>
  <c r="I715" i="1"/>
  <c r="J96" i="1"/>
  <c r="Q402" i="1"/>
  <c r="J339" i="1"/>
  <c r="R516" i="1"/>
  <c r="J209" i="1"/>
  <c r="R348" i="1"/>
  <c r="S585" i="1"/>
  <c r="Q85" i="1"/>
  <c r="K576" i="1"/>
  <c r="Q31" i="1"/>
  <c r="J324" i="1"/>
  <c r="I293" i="1"/>
  <c r="I493" i="1"/>
  <c r="I320" i="1"/>
  <c r="T246" i="1"/>
  <c r="R517" i="1"/>
  <c r="Q637" i="1"/>
  <c r="I189" i="1"/>
  <c r="Q341" i="1"/>
  <c r="S538" i="1"/>
  <c r="Q287" i="1"/>
  <c r="Q569" i="1"/>
  <c r="K585" i="1"/>
  <c r="L197" i="1"/>
  <c r="Q296" i="1"/>
  <c r="I696" i="1"/>
  <c r="Q515" i="1"/>
  <c r="J480" i="1"/>
  <c r="I660" i="1"/>
  <c r="R63" i="1"/>
  <c r="I289" i="1"/>
  <c r="I53" i="1"/>
  <c r="I224" i="1"/>
  <c r="J470" i="1"/>
  <c r="R323" i="1"/>
  <c r="R232" i="1"/>
  <c r="I563" i="1"/>
  <c r="R89" i="1"/>
  <c r="Q63" i="1"/>
  <c r="I424" i="1"/>
  <c r="I655" i="1"/>
  <c r="I321" i="1"/>
  <c r="I625" i="1"/>
  <c r="I453" i="1"/>
  <c r="J502" i="1"/>
  <c r="J66" i="1"/>
  <c r="Q409" i="1"/>
  <c r="K226" i="1"/>
  <c r="Q233" i="1"/>
  <c r="T236" i="1"/>
  <c r="I685" i="1"/>
  <c r="L248" i="1"/>
  <c r="S530" i="1"/>
  <c r="T197" i="1"/>
  <c r="I170" i="1"/>
  <c r="T261" i="1"/>
  <c r="I466" i="1"/>
  <c r="Q99" i="1"/>
  <c r="R98" i="1"/>
  <c r="Q278" i="1"/>
  <c r="K590" i="1"/>
  <c r="R220" i="1"/>
  <c r="K181" i="1"/>
  <c r="L198" i="1"/>
  <c r="R609" i="1"/>
  <c r="T234" i="1"/>
  <c r="Q258" i="1"/>
  <c r="J514" i="1"/>
  <c r="Q507" i="1"/>
  <c r="I402" i="1"/>
  <c r="R367" i="1"/>
  <c r="Q551" i="1"/>
  <c r="I568" i="1"/>
  <c r="Q349" i="1"/>
  <c r="I108" i="1"/>
  <c r="J340" i="1"/>
  <c r="I619" i="1"/>
  <c r="I253" i="1"/>
  <c r="I173" i="1"/>
  <c r="K261" i="1"/>
  <c r="Q363" i="1"/>
  <c r="I520" i="1"/>
  <c r="S191" i="1"/>
  <c r="I228" i="1"/>
  <c r="Q93" i="1"/>
  <c r="I400" i="1"/>
  <c r="I576" i="1"/>
  <c r="Q262" i="1"/>
  <c r="Q227" i="1"/>
  <c r="T182" i="1"/>
  <c r="Q658" i="1"/>
  <c r="I559" i="1"/>
  <c r="L185" i="1"/>
  <c r="Q616" i="1"/>
  <c r="K579" i="1"/>
  <c r="S554" i="1"/>
  <c r="K533" i="1"/>
  <c r="I47" i="1"/>
  <c r="I7" i="1"/>
  <c r="Q692" i="1"/>
  <c r="I408" i="1"/>
  <c r="Q123" i="1"/>
  <c r="Q309" i="1"/>
  <c r="Q274" i="1"/>
  <c r="Q268" i="1"/>
  <c r="Q23" i="1"/>
  <c r="Q337" i="1"/>
  <c r="J334" i="1"/>
  <c r="I542" i="1"/>
  <c r="S484" i="1"/>
  <c r="I410" i="1"/>
  <c r="Q353" i="1"/>
  <c r="J566" i="1"/>
  <c r="Q269" i="1"/>
  <c r="I495" i="1"/>
  <c r="I652" i="1"/>
  <c r="I67" i="1"/>
  <c r="Q497" i="1"/>
  <c r="I475" i="1"/>
  <c r="I489" i="1"/>
  <c r="I428" i="1"/>
  <c r="I482" i="1"/>
  <c r="Q319" i="1"/>
  <c r="I395" i="1"/>
  <c r="R328" i="1"/>
  <c r="L196" i="1"/>
  <c r="J319" i="1"/>
  <c r="S250" i="1"/>
  <c r="Q468" i="1"/>
  <c r="J323" i="1"/>
  <c r="Q660" i="1"/>
  <c r="S236" i="1"/>
  <c r="K525" i="1"/>
  <c r="Q360" i="1"/>
  <c r="R484" i="1"/>
  <c r="R591" i="1"/>
  <c r="I351" i="1"/>
  <c r="Q143" i="1"/>
  <c r="Q335" i="1"/>
  <c r="Q601" i="1"/>
  <c r="S238" i="1"/>
  <c r="I369" i="1"/>
  <c r="Q266" i="1"/>
  <c r="I313" i="1"/>
  <c r="R244" i="1"/>
  <c r="I345" i="1"/>
  <c r="T181" i="1"/>
  <c r="T198" i="1"/>
  <c r="T188" i="1"/>
  <c r="J369" i="1"/>
  <c r="J379" i="1"/>
  <c r="J598" i="1"/>
  <c r="Q61" i="1"/>
  <c r="Q605" i="1"/>
  <c r="J219" i="1"/>
  <c r="I352" i="1"/>
  <c r="Q575" i="1"/>
  <c r="I608" i="1"/>
  <c r="Q434" i="1"/>
  <c r="Q11" i="1"/>
  <c r="K217" i="1"/>
  <c r="Q415" i="1"/>
  <c r="S544" i="1"/>
  <c r="J315" i="1"/>
  <c r="R103" i="1"/>
  <c r="J353" i="1"/>
  <c r="L215" i="1"/>
  <c r="K200" i="1"/>
  <c r="I178" i="1"/>
  <c r="J517" i="1"/>
  <c r="R574" i="1"/>
  <c r="I152" i="1"/>
  <c r="Q302" i="1"/>
  <c r="I438" i="1"/>
  <c r="I232" i="1"/>
  <c r="Q593" i="1"/>
  <c r="I278" i="1"/>
  <c r="S602" i="1"/>
  <c r="Q131" i="1"/>
  <c r="K512" i="1"/>
  <c r="Q495" i="1"/>
  <c r="K485" i="1"/>
  <c r="S474" i="1"/>
  <c r="J117" i="1"/>
  <c r="Q687" i="1"/>
  <c r="S511" i="1"/>
  <c r="Q261" i="1"/>
  <c r="J599" i="1"/>
  <c r="K518" i="1"/>
  <c r="Q494" i="1"/>
  <c r="K262" i="1"/>
  <c r="J231" i="1"/>
  <c r="J69" i="1"/>
  <c r="Q336" i="1"/>
  <c r="I485" i="1"/>
  <c r="I165" i="1"/>
  <c r="J534" i="1"/>
  <c r="I507" i="1"/>
  <c r="Q685" i="1"/>
  <c r="I384" i="1"/>
  <c r="I540" i="1"/>
  <c r="R607" i="1"/>
  <c r="R245" i="1"/>
  <c r="R183" i="1"/>
  <c r="S517" i="1"/>
  <c r="Q303" i="1"/>
  <c r="Q109" i="1"/>
  <c r="Q583" i="1"/>
  <c r="J206" i="1"/>
  <c r="I616" i="1"/>
  <c r="S548" i="1"/>
  <c r="I447" i="1"/>
  <c r="R569" i="1"/>
  <c r="T214" i="1"/>
  <c r="I674" i="1"/>
  <c r="I628" i="1"/>
  <c r="S480" i="1"/>
  <c r="R511" i="1"/>
  <c r="R546" i="1"/>
  <c r="S206" i="1"/>
  <c r="K503" i="1"/>
  <c r="Q610" i="1"/>
  <c r="Q270" i="1"/>
  <c r="Q684" i="1"/>
  <c r="I479" i="1"/>
  <c r="I19" i="1"/>
  <c r="I443" i="1"/>
  <c r="Q64" i="1"/>
  <c r="I651" i="1"/>
  <c r="S598" i="1"/>
  <c r="Q70" i="1"/>
  <c r="Q574" i="1"/>
  <c r="I684" i="1"/>
  <c r="Q160" i="1"/>
  <c r="I164" i="1"/>
  <c r="Q344" i="1"/>
  <c r="I671" i="1"/>
  <c r="Q412" i="1"/>
  <c r="Q231" i="1"/>
  <c r="S514" i="1"/>
  <c r="Q190" i="1"/>
  <c r="R581" i="1"/>
  <c r="I166" i="1"/>
  <c r="I639" i="1"/>
  <c r="J328" i="1"/>
  <c r="L192" i="1"/>
  <c r="K496" i="1"/>
  <c r="Q396" i="1"/>
  <c r="I82" i="1"/>
  <c r="Q613" i="1"/>
  <c r="T241" i="1"/>
  <c r="R553" i="1"/>
  <c r="I301" i="1"/>
  <c r="Q482" i="1"/>
  <c r="Q628" i="1"/>
  <c r="S483" i="1"/>
  <c r="J491" i="1"/>
  <c r="S520" i="1"/>
  <c r="J578" i="1"/>
  <c r="I291" i="1"/>
  <c r="I511" i="1"/>
  <c r="I471" i="1"/>
  <c r="R540" i="1"/>
  <c r="J544" i="1"/>
  <c r="J554" i="1"/>
  <c r="J518" i="1"/>
  <c r="J220" i="1"/>
  <c r="Q411" i="1"/>
  <c r="Q325" i="1"/>
  <c r="J581" i="1"/>
  <c r="S255" i="1"/>
  <c r="Q228" i="1"/>
  <c r="Q649" i="1"/>
  <c r="Q523" i="1"/>
  <c r="I468" i="1"/>
  <c r="Q573" i="1"/>
  <c r="R501" i="1"/>
  <c r="Q146" i="1"/>
  <c r="I510" i="1"/>
  <c r="J333" i="1"/>
  <c r="Q549" i="1"/>
  <c r="Q626" i="1"/>
  <c r="I134" i="1"/>
  <c r="I308" i="1"/>
  <c r="I393" i="1"/>
  <c r="Q489" i="1"/>
  <c r="R509" i="1"/>
  <c r="I703" i="1"/>
  <c r="J346" i="1"/>
  <c r="J553" i="1"/>
  <c r="I143" i="1"/>
  <c r="T232" i="1"/>
  <c r="R235" i="1"/>
  <c r="R590" i="1"/>
  <c r="K530" i="1"/>
  <c r="Q676" i="1"/>
  <c r="K532" i="1"/>
  <c r="S574" i="1"/>
  <c r="J76" i="1"/>
  <c r="I401" i="1"/>
  <c r="J585" i="1"/>
  <c r="Q185" i="1"/>
  <c r="K568" i="1"/>
  <c r="Q695" i="1"/>
  <c r="L182" i="1"/>
  <c r="Q50" i="1"/>
  <c r="I492" i="1"/>
  <c r="Q693" i="1"/>
  <c r="J193" i="1"/>
  <c r="J606" i="1"/>
  <c r="S216" i="1"/>
  <c r="Q118" i="1"/>
  <c r="Q592" i="1"/>
  <c r="J326" i="1"/>
  <c r="I261" i="1"/>
  <c r="I385" i="1"/>
  <c r="Q555" i="1"/>
  <c r="Q508" i="1"/>
  <c r="J382" i="1"/>
  <c r="I284" i="1"/>
  <c r="I130" i="1"/>
  <c r="R560" i="1"/>
  <c r="I155" i="1"/>
  <c r="R100" i="1"/>
  <c r="J523" i="1"/>
  <c r="R339" i="1"/>
  <c r="S519" i="1"/>
  <c r="R502" i="1"/>
  <c r="S509" i="1"/>
  <c r="Q39" i="1"/>
  <c r="Q27" i="1"/>
  <c r="Q323" i="1"/>
  <c r="I4" i="1"/>
  <c r="I723" i="1"/>
  <c r="T229" i="1"/>
  <c r="R204" i="1"/>
  <c r="J113" i="1"/>
  <c r="I480" i="1"/>
  <c r="J187" i="1"/>
  <c r="S523" i="1"/>
  <c r="R577" i="1"/>
  <c r="I269" i="1"/>
  <c r="Q529" i="1"/>
  <c r="I404" i="1"/>
  <c r="Q541" i="1"/>
  <c r="Q354" i="1"/>
  <c r="I630" i="1"/>
  <c r="L218" i="1"/>
  <c r="I225" i="1"/>
  <c r="I667" i="1"/>
  <c r="J240" i="1"/>
  <c r="B1" i="1" l="1"/>
</calcChain>
</file>

<file path=xl/sharedStrings.xml><?xml version="1.0" encoding="utf-8"?>
<sst xmlns="http://schemas.openxmlformats.org/spreadsheetml/2006/main" count="2683" uniqueCount="1019">
  <si>
    <t>input</t>
    <phoneticPr fontId="1"/>
  </si>
  <si>
    <t>output</t>
    <phoneticPr fontId="1"/>
  </si>
  <si>
    <t>テスト対象関数名</t>
    <rPh sb="3" eb="5">
      <t>タイショウ</t>
    </rPh>
    <rPh sb="5" eb="8">
      <t>カンスウメイ</t>
    </rPh>
    <phoneticPr fontId="1"/>
  </si>
  <si>
    <t>2進→2進</t>
    <rPh sb="1" eb="2">
      <t>シン</t>
    </rPh>
    <phoneticPr fontId="1"/>
  </si>
  <si>
    <t>2進→7進</t>
    <rPh sb="1" eb="2">
      <t>シン</t>
    </rPh>
    <phoneticPr fontId="1"/>
  </si>
  <si>
    <t>2進→16進</t>
    <rPh sb="1" eb="2">
      <t>シン</t>
    </rPh>
    <phoneticPr fontId="1"/>
  </si>
  <si>
    <t>7進→2進</t>
    <phoneticPr fontId="1"/>
  </si>
  <si>
    <t>7進→7進</t>
    <phoneticPr fontId="1"/>
  </si>
  <si>
    <t>7進→16進</t>
    <phoneticPr fontId="1"/>
  </si>
  <si>
    <t>16進→2進</t>
    <phoneticPr fontId="1"/>
  </si>
  <si>
    <t>16進→7進</t>
    <phoneticPr fontId="1"/>
  </si>
  <si>
    <t>16進→16進</t>
    <phoneticPr fontId="1"/>
  </si>
  <si>
    <t>期待値</t>
    <rPh sb="0" eb="2">
      <t>キタイ</t>
    </rPh>
    <rPh sb="2" eb="3">
      <t>チ</t>
    </rPh>
    <phoneticPr fontId="1"/>
  </si>
  <si>
    <t>判定</t>
    <rPh sb="0" eb="2">
      <t>ハンテイ</t>
    </rPh>
    <phoneticPr fontId="1"/>
  </si>
  <si>
    <t>0</t>
  </si>
  <si>
    <t>10</t>
  </si>
  <si>
    <t>10001</t>
  </si>
  <si>
    <t>23</t>
  </si>
  <si>
    <t>11</t>
  </si>
  <si>
    <t>総合判定</t>
    <rPh sb="0" eb="2">
      <t>ソウゴウ</t>
    </rPh>
    <rPh sb="2" eb="4">
      <t>ハンテイ</t>
    </rPh>
    <phoneticPr fontId="1"/>
  </si>
  <si>
    <t>66</t>
  </si>
  <si>
    <t>100</t>
  </si>
  <si>
    <t>FF</t>
  </si>
  <si>
    <t>toRadix ^ 2 - 1</t>
    <phoneticPr fontId="1"/>
  </si>
  <si>
    <t>toRadix ^ 2</t>
    <phoneticPr fontId="1"/>
  </si>
  <si>
    <t>toRadix + 1</t>
    <phoneticPr fontId="1"/>
  </si>
  <si>
    <t>FF</t>
    <phoneticPr fontId="1"/>
  </si>
  <si>
    <t>toRadix ^ 3 - 1</t>
    <phoneticPr fontId="1"/>
  </si>
  <si>
    <t>toRadix ^ 3</t>
    <phoneticPr fontId="1"/>
  </si>
  <si>
    <t>1000000000000</t>
    <phoneticPr fontId="1"/>
  </si>
  <si>
    <t>111111111111</t>
    <phoneticPr fontId="1"/>
  </si>
  <si>
    <t>111</t>
  </si>
  <si>
    <t>666</t>
  </si>
  <si>
    <t>FFF</t>
  </si>
  <si>
    <t>1000</t>
  </si>
  <si>
    <t>FFF</t>
    <phoneticPr fontId="1"/>
  </si>
  <si>
    <t>序数のオーバーフロー</t>
    <rPh sb="0" eb="2">
      <t>ジョスウ</t>
    </rPh>
    <phoneticPr fontId="1"/>
  </si>
  <si>
    <t>被除数のオーバーフロー</t>
    <rPh sb="0" eb="1">
      <t>ヒ</t>
    </rPh>
    <rPh sb="1" eb="3">
      <t>ジョスウ</t>
    </rPh>
    <phoneticPr fontId="1"/>
  </si>
  <si>
    <t>オーバーフローしない最大</t>
    <rPh sb="10" eb="11">
      <t>サイ</t>
    </rPh>
    <rPh sb="11" eb="12">
      <t>ダイ</t>
    </rPh>
    <phoneticPr fontId="1"/>
  </si>
  <si>
    <t>オーバフローする最小</t>
    <rPh sb="8" eb="10">
      <t>サイショウ</t>
    </rPh>
    <phoneticPr fontId="1"/>
  </si>
  <si>
    <t>1111111111111111111111111111111</t>
    <phoneticPr fontId="1"/>
  </si>
  <si>
    <t>10000000000000000000000000000000</t>
    <phoneticPr fontId="1"/>
  </si>
  <si>
    <t>0割チェック</t>
    <rPh sb="1" eb="2">
      <t>ワリ</t>
    </rPh>
    <phoneticPr fontId="1"/>
  </si>
  <si>
    <t>1割チェック</t>
    <rPh sb="1" eb="2">
      <t>ワリ</t>
    </rPh>
    <phoneticPr fontId="1"/>
  </si>
  <si>
    <t>1</t>
  </si>
  <si>
    <t/>
  </si>
  <si>
    <t>2進</t>
    <rPh sb="1" eb="2">
      <t>シン</t>
    </rPh>
    <phoneticPr fontId="1"/>
  </si>
  <si>
    <t>10進</t>
    <rPh sb="2" eb="3">
      <t>シン</t>
    </rPh>
    <phoneticPr fontId="1"/>
  </si>
  <si>
    <t>16進</t>
  </si>
  <si>
    <t>16進</t>
    <rPh sb="2" eb="3">
      <t>シン</t>
    </rPh>
    <phoneticPr fontId="1"/>
  </si>
  <si>
    <t>7FFFFFFF</t>
    <phoneticPr fontId="1"/>
  </si>
  <si>
    <t>(2,147,483,647(10))</t>
    <phoneticPr fontId="1"/>
  </si>
  <si>
    <t>(2,147,483,648(10))</t>
    <phoneticPr fontId="1"/>
  </si>
  <si>
    <t>(toRadixによる除算ループが</t>
    <phoneticPr fontId="1"/>
  </si>
  <si>
    <t xml:space="preserve"> 1回まわる時の最小限界)</t>
    <phoneticPr fontId="1"/>
  </si>
  <si>
    <t xml:space="preserve"> 1回まわる時の最大限界)</t>
    <phoneticPr fontId="1"/>
  </si>
  <si>
    <t xml:space="preserve"> 2回まわるの最小限界)</t>
    <phoneticPr fontId="1"/>
  </si>
  <si>
    <t xml:space="preserve"> 2回まわる時の最大限界)</t>
    <phoneticPr fontId="1"/>
  </si>
  <si>
    <t xml:space="preserve"> 3回まわるの最小限界)</t>
    <phoneticPr fontId="1"/>
  </si>
  <si>
    <t>divide</t>
    <phoneticPr fontId="1"/>
  </si>
  <si>
    <t>001111111111111111111111111111111</t>
    <phoneticPr fontId="1"/>
  </si>
  <si>
    <t>002147483647</t>
    <phoneticPr fontId="1"/>
  </si>
  <si>
    <t>007FFFFFFF</t>
    <phoneticPr fontId="1"/>
  </si>
  <si>
    <t>001000000000000000000000000000000000</t>
  </si>
  <si>
    <t>001000000000000000000000000000000000</t>
    <phoneticPr fontId="1"/>
  </si>
  <si>
    <t>00214748364800</t>
  </si>
  <si>
    <t>00214748364800</t>
    <phoneticPr fontId="1"/>
  </si>
  <si>
    <t>008000000000</t>
  </si>
  <si>
    <t>008000000000</t>
    <phoneticPr fontId="1"/>
  </si>
  <si>
    <t>00111111111111111111111111111111100</t>
    <phoneticPr fontId="1"/>
  </si>
  <si>
    <t>00214748364700</t>
    <phoneticPr fontId="1"/>
  </si>
  <si>
    <t>007FFFFFFF00</t>
    <phoneticPr fontId="1"/>
  </si>
  <si>
    <t>00000000000000000000000000000000100</t>
  </si>
  <si>
    <t>00000000000100</t>
  </si>
  <si>
    <t>000000000100</t>
  </si>
  <si>
    <t>小数点以下桁数指定</t>
    <rPh sb="0" eb="3">
      <t>ショウスウテン</t>
    </rPh>
    <rPh sb="3" eb="5">
      <t>イカ</t>
    </rPh>
    <rPh sb="5" eb="7">
      <t>ケタスウ</t>
    </rPh>
    <rPh sb="7" eb="9">
      <t>シテイ</t>
    </rPh>
    <phoneticPr fontId="1"/>
  </si>
  <si>
    <t>0桁</t>
    <rPh sb="1" eb="2">
      <t>ケタ</t>
    </rPh>
    <phoneticPr fontId="1"/>
  </si>
  <si>
    <t>011</t>
  </si>
  <si>
    <t>010</t>
  </si>
  <si>
    <t>0010</t>
  </si>
  <si>
    <t>3</t>
  </si>
  <si>
    <t>001</t>
  </si>
  <si>
    <t>5</t>
  </si>
  <si>
    <t>商 = 0</t>
    <rPh sb="0" eb="1">
      <t>ショウ</t>
    </rPh>
    <phoneticPr fontId="1"/>
  </si>
  <si>
    <t>商 = 1</t>
    <phoneticPr fontId="1"/>
  </si>
  <si>
    <t>剰余 = 0</t>
  </si>
  <si>
    <t>剰余 = 1</t>
  </si>
  <si>
    <t>商 = Radix - 1</t>
    <rPh sb="0" eb="1">
      <t>ショウ</t>
    </rPh>
    <phoneticPr fontId="1"/>
  </si>
  <si>
    <t>商 = Radix</t>
    <rPh sb="0" eb="1">
      <t>ショウ</t>
    </rPh>
    <phoneticPr fontId="1"/>
  </si>
  <si>
    <t>商 = Radix + 1</t>
    <rPh sb="0" eb="1">
      <t>ショウ</t>
    </rPh>
    <phoneticPr fontId="1"/>
  </si>
  <si>
    <t>商 = Radix ^ 2 - 1</t>
    <rPh sb="0" eb="1">
      <t>ショウ</t>
    </rPh>
    <phoneticPr fontId="1"/>
  </si>
  <si>
    <t>商 = Radix ^ 2</t>
    <rPh sb="0" eb="1">
      <t>ショウ</t>
    </rPh>
    <phoneticPr fontId="1"/>
  </si>
  <si>
    <t>商 = Radix ^ 2 + 1</t>
    <rPh sb="0" eb="1">
      <t>ショウ</t>
    </rPh>
    <phoneticPr fontId="1"/>
  </si>
  <si>
    <t>商 = Radix ^ 3 - 1</t>
    <rPh sb="0" eb="1">
      <t>ショウ</t>
    </rPh>
    <phoneticPr fontId="1"/>
  </si>
  <si>
    <t>商 = Radix ^ 3</t>
    <rPh sb="0" eb="1">
      <t>ショウ</t>
    </rPh>
    <phoneticPr fontId="1"/>
  </si>
  <si>
    <t>商 = Radix ^ 3 + 1</t>
    <rPh sb="0" eb="1">
      <t>ショウ</t>
    </rPh>
    <phoneticPr fontId="1"/>
  </si>
  <si>
    <t>剰余 = Radix - 1</t>
  </si>
  <si>
    <t>00</t>
  </si>
  <si>
    <t>F</t>
  </si>
  <si>
    <t>F</t>
    <phoneticPr fontId="1"/>
  </si>
  <si>
    <t>9</t>
  </si>
  <si>
    <t>被除数の桁数キープ</t>
    <phoneticPr fontId="1"/>
  </si>
  <si>
    <t>1111111111111111111111111111111</t>
    <phoneticPr fontId="1"/>
  </si>
  <si>
    <t>2147483647</t>
    <phoneticPr fontId="1"/>
  </si>
  <si>
    <t>1000000000000000000000000000000000</t>
    <phoneticPr fontId="1"/>
  </si>
  <si>
    <t>214748364800</t>
    <phoneticPr fontId="1"/>
  </si>
  <si>
    <t>8000000000</t>
    <phoneticPr fontId="1"/>
  </si>
  <si>
    <t>0000000000000000000000000000001</t>
  </si>
  <si>
    <t>0000000001</t>
  </si>
  <si>
    <t>00000001</t>
  </si>
  <si>
    <t>1</t>
    <phoneticPr fontId="1"/>
  </si>
  <si>
    <t>1</t>
    <phoneticPr fontId="1"/>
  </si>
  <si>
    <t>9</t>
    <phoneticPr fontId="1"/>
  </si>
  <si>
    <t>10</t>
    <phoneticPr fontId="1"/>
  </si>
  <si>
    <t>11</t>
    <phoneticPr fontId="1"/>
  </si>
  <si>
    <t>19</t>
    <phoneticPr fontId="1"/>
  </si>
  <si>
    <t>1F</t>
    <phoneticPr fontId="1"/>
  </si>
  <si>
    <t>01</t>
    <phoneticPr fontId="1"/>
  </si>
  <si>
    <t>01</t>
    <phoneticPr fontId="1"/>
  </si>
  <si>
    <t>0</t>
    <phoneticPr fontId="1"/>
  </si>
  <si>
    <t>90</t>
    <phoneticPr fontId="1"/>
  </si>
  <si>
    <t>F0</t>
    <phoneticPr fontId="1"/>
  </si>
  <si>
    <t>09</t>
    <phoneticPr fontId="1"/>
  </si>
  <si>
    <t>0F</t>
    <phoneticPr fontId="1"/>
  </si>
  <si>
    <t>91</t>
    <phoneticPr fontId="1"/>
  </si>
  <si>
    <t>F1</t>
    <phoneticPr fontId="1"/>
  </si>
  <si>
    <t>99</t>
    <phoneticPr fontId="1"/>
  </si>
  <si>
    <t>FF</t>
    <phoneticPr fontId="1"/>
  </si>
  <si>
    <t>100</t>
    <phoneticPr fontId="1"/>
  </si>
  <si>
    <t>101</t>
    <phoneticPr fontId="1"/>
  </si>
  <si>
    <t>109</t>
    <phoneticPr fontId="1"/>
  </si>
  <si>
    <t>10F</t>
    <phoneticPr fontId="1"/>
  </si>
  <si>
    <t>101</t>
    <phoneticPr fontId="1"/>
  </si>
  <si>
    <t>110</t>
    <phoneticPr fontId="1"/>
  </si>
  <si>
    <t>011</t>
    <phoneticPr fontId="1"/>
  </si>
  <si>
    <t>111</t>
    <phoneticPr fontId="1"/>
  </si>
  <si>
    <t>119</t>
    <phoneticPr fontId="1"/>
  </si>
  <si>
    <t>11F</t>
    <phoneticPr fontId="1"/>
  </si>
  <si>
    <t>990</t>
    <phoneticPr fontId="1"/>
  </si>
  <si>
    <t>099</t>
  </si>
  <si>
    <t>099</t>
    <phoneticPr fontId="1"/>
  </si>
  <si>
    <t>0FF</t>
  </si>
  <si>
    <t>0FF</t>
    <phoneticPr fontId="1"/>
  </si>
  <si>
    <t>FF0</t>
    <phoneticPr fontId="1"/>
  </si>
  <si>
    <t>111</t>
    <phoneticPr fontId="1"/>
  </si>
  <si>
    <t>991</t>
    <phoneticPr fontId="1"/>
  </si>
  <si>
    <t>FF1</t>
    <phoneticPr fontId="1"/>
  </si>
  <si>
    <t>999</t>
    <phoneticPr fontId="1"/>
  </si>
  <si>
    <t>FFF</t>
    <phoneticPr fontId="1"/>
  </si>
  <si>
    <t>1000</t>
    <phoneticPr fontId="1"/>
  </si>
  <si>
    <t>0100</t>
  </si>
  <si>
    <t>1001</t>
    <phoneticPr fontId="1"/>
  </si>
  <si>
    <t>1009</t>
    <phoneticPr fontId="1"/>
  </si>
  <si>
    <t>100F</t>
    <phoneticPr fontId="1"/>
  </si>
  <si>
    <t>1010</t>
    <phoneticPr fontId="1"/>
  </si>
  <si>
    <t>0101</t>
  </si>
  <si>
    <t>1011</t>
  </si>
  <si>
    <t>1011</t>
    <phoneticPr fontId="1"/>
  </si>
  <si>
    <t>1019</t>
    <phoneticPr fontId="1"/>
  </si>
  <si>
    <t>101F</t>
    <phoneticPr fontId="1"/>
  </si>
  <si>
    <t>10000</t>
    <phoneticPr fontId="1"/>
  </si>
  <si>
    <t>01000</t>
  </si>
  <si>
    <t>10001</t>
    <phoneticPr fontId="1"/>
  </si>
  <si>
    <t>10009</t>
    <phoneticPr fontId="1"/>
  </si>
  <si>
    <t>1000F</t>
    <phoneticPr fontId="1"/>
  </si>
  <si>
    <t>1111</t>
    <phoneticPr fontId="1"/>
  </si>
  <si>
    <t>1110</t>
    <phoneticPr fontId="1"/>
  </si>
  <si>
    <t>1110</t>
    <phoneticPr fontId="1"/>
  </si>
  <si>
    <t>1119</t>
    <phoneticPr fontId="1"/>
  </si>
  <si>
    <t>1111</t>
    <phoneticPr fontId="1"/>
  </si>
  <si>
    <t>111F</t>
    <phoneticPr fontId="1"/>
  </si>
  <si>
    <t>0111</t>
  </si>
  <si>
    <t>10010</t>
    <phoneticPr fontId="1"/>
  </si>
  <si>
    <t>01001</t>
  </si>
  <si>
    <t>10011</t>
    <phoneticPr fontId="1"/>
  </si>
  <si>
    <t>10019</t>
    <phoneticPr fontId="1"/>
  </si>
  <si>
    <t>1001F</t>
    <phoneticPr fontId="1"/>
  </si>
  <si>
    <t>255桁</t>
    <rPh sb="3" eb="4">
      <t>ケタ</t>
    </rPh>
    <phoneticPr fontId="1"/>
  </si>
  <si>
    <t>1桁</t>
    <rPh sb="1" eb="2">
      <t>ケタ</t>
    </rPh>
    <phoneticPr fontId="1"/>
  </si>
  <si>
    <t>3</t>
    <phoneticPr fontId="1"/>
  </si>
  <si>
    <t>5</t>
    <phoneticPr fontId="1"/>
  </si>
  <si>
    <t>F</t>
    <phoneticPr fontId="1"/>
  </si>
  <si>
    <t>00101010101010101010101010101010101010101010101010101010101010101010101010101010101010101010101010101010101010101010101010101010101010101010101010101010101010101010101010101010101010101010101010101010101010101010101010101010101010101010101010101010101010101</t>
  </si>
  <si>
    <t>1</t>
    <phoneticPr fontId="1"/>
  </si>
  <si>
    <t>0333333333333333333333333333333333333333333333333333333333333333333333333333333333333333333333333333333333333333333333333333333333333333333333333333333333333333333333333333333333333333333333333333333333333333333333333333333333333333333333333333333333333333</t>
  </si>
  <si>
    <t>001010101010101010101010101010101010101010101010101010101010101010101010101010101010101010101010101010101010101010101010101010101010101010101010101010101010101010101010101010101010101010101010101010101010101010101010101010101010101010101010101010101010101010</t>
  </si>
  <si>
    <t>2進(256桁指定)</t>
    <rPh sb="1" eb="2">
      <t>シン</t>
    </rPh>
    <rPh sb="6" eb="7">
      <t>ケタ</t>
    </rPh>
    <rPh sb="7" eb="9">
      <t>シテイ</t>
    </rPh>
    <phoneticPr fontId="1"/>
  </si>
  <si>
    <t>2進(255桁指定)</t>
    <rPh sb="1" eb="2">
      <t>シン</t>
    </rPh>
    <rPh sb="6" eb="7">
      <t>ケタ</t>
    </rPh>
    <rPh sb="7" eb="9">
      <t>シテイ</t>
    </rPh>
    <phoneticPr fontId="1"/>
  </si>
  <si>
    <t>0555555555555555555555555555555555555555555555555555555555555555555555555555555555555555555555555555555555555555555555555555555555555555555555555555555555555555555555555555555555555555555555555555555555555555555555555555555555555555555555555555555555555555</t>
  </si>
  <si>
    <t>03</t>
  </si>
  <si>
    <t>05</t>
  </si>
  <si>
    <t>2進(1桁指定)</t>
    <rPh sb="1" eb="2">
      <t>シン</t>
    </rPh>
    <rPh sb="4" eb="5">
      <t>ケタ</t>
    </rPh>
    <rPh sb="5" eb="7">
      <t>シテイ</t>
    </rPh>
    <phoneticPr fontId="1"/>
  </si>
  <si>
    <t>2進(2桁指定)</t>
    <rPh sb="1" eb="2">
      <t>シン</t>
    </rPh>
    <rPh sb="4" eb="5">
      <t>ケタ</t>
    </rPh>
    <rPh sb="5" eb="7">
      <t>シテイ</t>
    </rPh>
    <phoneticPr fontId="1"/>
  </si>
  <si>
    <t>(-)桁</t>
    <rPh sb="3" eb="4">
      <t>ケタ</t>
    </rPh>
    <phoneticPr fontId="1"/>
  </si>
  <si>
    <t>観点</t>
    <rPh sb="0" eb="2">
      <t>カンテン</t>
    </rPh>
    <phoneticPr fontId="1"/>
  </si>
  <si>
    <t>add</t>
    <phoneticPr fontId="1"/>
  </si>
  <si>
    <t>桁数あわせ</t>
    <rPh sb="0" eb="2">
      <t>ケタスウ</t>
    </rPh>
    <phoneticPr fontId="1"/>
  </si>
  <si>
    <t>val1 = 1文字, val2 = 1文字</t>
    <rPh sb="8" eb="10">
      <t>モジ</t>
    </rPh>
    <phoneticPr fontId="1"/>
  </si>
  <si>
    <t>val1 = 1文字, val2 = 2文字</t>
    <rPh sb="8" eb="10">
      <t>モジ</t>
    </rPh>
    <phoneticPr fontId="1"/>
  </si>
  <si>
    <t>val1 = 2文字, val2 = 1文字</t>
    <rPh sb="8" eb="10">
      <t>モジ</t>
    </rPh>
    <phoneticPr fontId="1"/>
  </si>
  <si>
    <t>00</t>
    <phoneticPr fontId="1"/>
  </si>
  <si>
    <t>和算ループ回数</t>
    <rPh sb="0" eb="2">
      <t>ワザン</t>
    </rPh>
    <rPh sb="5" eb="7">
      <t>カイスウ</t>
    </rPh>
    <phoneticPr fontId="1"/>
  </si>
  <si>
    <t>ループ1回</t>
    <rPh sb="4" eb="5">
      <t>カイ</t>
    </rPh>
    <phoneticPr fontId="1"/>
  </si>
  <si>
    <t>2進</t>
    <rPh sb="1" eb="2">
      <t>シン</t>
    </rPh>
    <phoneticPr fontId="1"/>
  </si>
  <si>
    <t>10進</t>
    <rPh sb="2" eb="3">
      <t>シン</t>
    </rPh>
    <phoneticPr fontId="1"/>
  </si>
  <si>
    <t>16進</t>
    <rPh sb="2" eb="3">
      <t>シン</t>
    </rPh>
    <phoneticPr fontId="1"/>
  </si>
  <si>
    <t>F</t>
    <phoneticPr fontId="1"/>
  </si>
  <si>
    <t>ループ2回</t>
    <rPh sb="4" eb="5">
      <t>カイ</t>
    </rPh>
    <phoneticPr fontId="1"/>
  </si>
  <si>
    <t>ループ3回</t>
    <rPh sb="4" eb="5">
      <t>カイ</t>
    </rPh>
    <phoneticPr fontId="1"/>
  </si>
  <si>
    <t>11</t>
    <phoneticPr fontId="1"/>
  </si>
  <si>
    <t>1</t>
    <phoneticPr fontId="1"/>
  </si>
  <si>
    <t>99</t>
  </si>
  <si>
    <t>99</t>
    <phoneticPr fontId="1"/>
  </si>
  <si>
    <t>1</t>
    <phoneticPr fontId="1"/>
  </si>
  <si>
    <t>FF</t>
    <phoneticPr fontId="1"/>
  </si>
  <si>
    <t>1</t>
    <phoneticPr fontId="1"/>
  </si>
  <si>
    <t>111</t>
    <phoneticPr fontId="1"/>
  </si>
  <si>
    <t>1</t>
    <phoneticPr fontId="1"/>
  </si>
  <si>
    <t>999</t>
    <phoneticPr fontId="1"/>
  </si>
  <si>
    <t>1</t>
    <phoneticPr fontId="1"/>
  </si>
  <si>
    <t>FFF</t>
    <phoneticPr fontId="1"/>
  </si>
  <si>
    <t>val1=0,val2=0,前桁carrier=0</t>
  </si>
  <si>
    <t>val1=0,val2=0,前桁carrier=1</t>
  </si>
  <si>
    <t>val1=0,val2=1,前桁carrier=0</t>
  </si>
  <si>
    <t>val1=0,val2=1,前桁carrier=1</t>
  </si>
  <si>
    <t>val1=1,val2=0,前桁carrier=0</t>
  </si>
  <si>
    <t>val1=1,val2=0,前桁carrier=1</t>
  </si>
  <si>
    <t>val1=1,val2=1,前桁carrier=0</t>
  </si>
  <si>
    <t>val1=1,val2=1,前桁carrier=1</t>
  </si>
  <si>
    <t>加算アルゴリズム</t>
    <rPh sb="0" eb="2">
      <t>カサン</t>
    </rPh>
    <phoneticPr fontId="1"/>
  </si>
  <si>
    <t>00</t>
    <phoneticPr fontId="1"/>
  </si>
  <si>
    <t>01</t>
  </si>
  <si>
    <t>01</t>
    <phoneticPr fontId="1"/>
  </si>
  <si>
    <t>09</t>
  </si>
  <si>
    <t>09</t>
    <phoneticPr fontId="1"/>
  </si>
  <si>
    <t>09</t>
    <phoneticPr fontId="1"/>
  </si>
  <si>
    <t>0F</t>
  </si>
  <si>
    <t>0F</t>
    <phoneticPr fontId="1"/>
  </si>
  <si>
    <t>18</t>
  </si>
  <si>
    <t>1E</t>
  </si>
  <si>
    <t>10</t>
    <phoneticPr fontId="1"/>
  </si>
  <si>
    <t>01</t>
    <phoneticPr fontId="1"/>
  </si>
  <si>
    <t>00</t>
    <phoneticPr fontId="1"/>
  </si>
  <si>
    <t>90</t>
    <phoneticPr fontId="1"/>
  </si>
  <si>
    <t>F0</t>
    <phoneticPr fontId="1"/>
  </si>
  <si>
    <t>99</t>
    <phoneticPr fontId="1"/>
  </si>
  <si>
    <t>108</t>
  </si>
  <si>
    <t>10E</t>
  </si>
  <si>
    <t>val1=0,val2=0</t>
    <phoneticPr fontId="1"/>
  </si>
  <si>
    <t>val1=0,val2=1</t>
    <phoneticPr fontId="1"/>
  </si>
  <si>
    <t>val1=1,val2=0</t>
    <phoneticPr fontId="1"/>
  </si>
  <si>
    <t>val1=1,val2=1</t>
    <phoneticPr fontId="1"/>
  </si>
  <si>
    <t>0</t>
    <phoneticPr fontId="1"/>
  </si>
  <si>
    <t>0</t>
    <phoneticPr fontId="1"/>
  </si>
  <si>
    <t>0</t>
    <phoneticPr fontId="1"/>
  </si>
  <si>
    <t>1</t>
    <phoneticPr fontId="1"/>
  </si>
  <si>
    <t>9</t>
    <phoneticPr fontId="1"/>
  </si>
  <si>
    <t>F</t>
    <phoneticPr fontId="1"/>
  </si>
  <si>
    <t>0</t>
    <phoneticPr fontId="1"/>
  </si>
  <si>
    <t>11</t>
    <phoneticPr fontId="1"/>
  </si>
  <si>
    <t>10</t>
    <phoneticPr fontId="1"/>
  </si>
  <si>
    <t>90</t>
    <phoneticPr fontId="1"/>
  </si>
  <si>
    <t>F0</t>
    <phoneticPr fontId="1"/>
  </si>
  <si>
    <t>101</t>
  </si>
  <si>
    <t>189</t>
  </si>
  <si>
    <t>1EF</t>
  </si>
  <si>
    <t>1</t>
    <phoneticPr fontId="1"/>
  </si>
  <si>
    <t>10進(最大)</t>
    <rPh sb="2" eb="3">
      <t>シン</t>
    </rPh>
    <rPh sb="4" eb="5">
      <t>サイ</t>
    </rPh>
    <rPh sb="5" eb="6">
      <t>ダイ</t>
    </rPh>
    <phoneticPr fontId="1"/>
  </si>
  <si>
    <t>10進(最小)</t>
    <rPh sb="2" eb="3">
      <t>シン</t>
    </rPh>
    <rPh sb="4" eb="6">
      <t>サイショウ</t>
    </rPh>
    <phoneticPr fontId="1"/>
  </si>
  <si>
    <t>16進(最大)</t>
    <rPh sb="2" eb="3">
      <t>シン</t>
    </rPh>
    <rPh sb="4" eb="5">
      <t>サイ</t>
    </rPh>
    <rPh sb="5" eb="6">
      <t>ダイ</t>
    </rPh>
    <phoneticPr fontId="1"/>
  </si>
  <si>
    <t>16進(最小)</t>
    <rPh sb="2" eb="3">
      <t>シン</t>
    </rPh>
    <rPh sb="4" eb="6">
      <t>サイショウ</t>
    </rPh>
    <phoneticPr fontId="1"/>
  </si>
  <si>
    <t>9</t>
    <phoneticPr fontId="1"/>
  </si>
  <si>
    <t>F</t>
    <phoneticPr fontId="1"/>
  </si>
  <si>
    <t>1</t>
    <phoneticPr fontId="1"/>
  </si>
  <si>
    <t>110</t>
  </si>
  <si>
    <t>198</t>
  </si>
  <si>
    <t>1FE</t>
  </si>
  <si>
    <t>multipleByOneDigit</t>
    <phoneticPr fontId="1"/>
  </si>
  <si>
    <t>0掛けチェック</t>
    <rPh sb="1" eb="2">
      <t>カ</t>
    </rPh>
    <phoneticPr fontId="1"/>
  </si>
  <si>
    <t>1掛けチェック</t>
    <rPh sb="1" eb="2">
      <t>カ</t>
    </rPh>
    <phoneticPr fontId="1"/>
  </si>
  <si>
    <t>0</t>
    <phoneticPr fontId="1"/>
  </si>
  <si>
    <t>1</t>
    <phoneticPr fontId="1"/>
  </si>
  <si>
    <t>10</t>
    <phoneticPr fontId="1"/>
  </si>
  <si>
    <t>11</t>
    <phoneticPr fontId="1"/>
  </si>
  <si>
    <t>101</t>
    <phoneticPr fontId="1"/>
  </si>
  <si>
    <t>乗算ループ回数</t>
    <rPh sb="0" eb="2">
      <t>ジョウザン</t>
    </rPh>
    <rPh sb="5" eb="7">
      <t>カイスウ</t>
    </rPh>
    <phoneticPr fontId="1"/>
  </si>
  <si>
    <t>ループ1回</t>
    <rPh sb="4" eb="5">
      <t>カイ</t>
    </rPh>
    <phoneticPr fontId="1"/>
  </si>
  <si>
    <t>3進</t>
    <rPh sb="1" eb="2">
      <t>シン</t>
    </rPh>
    <phoneticPr fontId="1"/>
  </si>
  <si>
    <t>10進</t>
    <rPh sb="2" eb="3">
      <t>シン</t>
    </rPh>
    <phoneticPr fontId="1"/>
  </si>
  <si>
    <t>16進</t>
    <rPh sb="2" eb="3">
      <t>シン</t>
    </rPh>
    <phoneticPr fontId="1"/>
  </si>
  <si>
    <t>2</t>
  </si>
  <si>
    <t>2</t>
    <phoneticPr fontId="1"/>
  </si>
  <si>
    <t>22</t>
    <phoneticPr fontId="1"/>
  </si>
  <si>
    <t>2</t>
    <phoneticPr fontId="1"/>
  </si>
  <si>
    <t>2</t>
    <phoneticPr fontId="1"/>
  </si>
  <si>
    <t>2</t>
    <phoneticPr fontId="1"/>
  </si>
  <si>
    <t>5</t>
    <phoneticPr fontId="1"/>
  </si>
  <si>
    <t>4</t>
  </si>
  <si>
    <t>A</t>
  </si>
  <si>
    <t>22</t>
    <phoneticPr fontId="1"/>
  </si>
  <si>
    <t>55</t>
    <phoneticPr fontId="1"/>
  </si>
  <si>
    <t>ループ2回</t>
    <rPh sb="4" eb="5">
      <t>カイ</t>
    </rPh>
    <phoneticPr fontId="1"/>
  </si>
  <si>
    <t>121</t>
  </si>
  <si>
    <t>44</t>
  </si>
  <si>
    <t>AA</t>
  </si>
  <si>
    <t>ループ3回</t>
    <rPh sb="4" eb="5">
      <t>カイ</t>
    </rPh>
    <phoneticPr fontId="1"/>
  </si>
  <si>
    <t>222</t>
    <phoneticPr fontId="1"/>
  </si>
  <si>
    <t>555</t>
    <phoneticPr fontId="1"/>
  </si>
  <si>
    <t>1221</t>
  </si>
  <si>
    <t>444</t>
  </si>
  <si>
    <t>AAA</t>
  </si>
  <si>
    <t>被乗数=0,乗数=0</t>
    <rPh sb="0" eb="1">
      <t>ヒ</t>
    </rPh>
    <rPh sb="1" eb="3">
      <t>ジョウスウ</t>
    </rPh>
    <rPh sb="6" eb="8">
      <t>ジョウスウ</t>
    </rPh>
    <phoneticPr fontId="1"/>
  </si>
  <si>
    <t>乗算アルゴリズム</t>
    <rPh sb="0" eb="2">
      <t>ジョウザン</t>
    </rPh>
    <phoneticPr fontId="1"/>
  </si>
  <si>
    <t>0</t>
    <phoneticPr fontId="1"/>
  </si>
  <si>
    <t>0</t>
    <phoneticPr fontId="1"/>
  </si>
  <si>
    <t>被乗数=0,乗数=1</t>
    <rPh sb="0" eb="1">
      <t>ヒ</t>
    </rPh>
    <rPh sb="1" eb="3">
      <t>ジョウスウ</t>
    </rPh>
    <rPh sb="6" eb="8">
      <t>ジョウスウ</t>
    </rPh>
    <phoneticPr fontId="1"/>
  </si>
  <si>
    <t>(※ここでの"1"は、</t>
    <phoneticPr fontId="1"/>
  </si>
  <si>
    <t>　減基数(radix - 1))</t>
    <rPh sb="1" eb="2">
      <t>ゲン</t>
    </rPh>
    <rPh sb="2" eb="4">
      <t>キスウ</t>
    </rPh>
    <phoneticPr fontId="1"/>
  </si>
  <si>
    <t>0</t>
    <phoneticPr fontId="1"/>
  </si>
  <si>
    <t>2</t>
    <phoneticPr fontId="1"/>
  </si>
  <si>
    <t>9</t>
    <phoneticPr fontId="1"/>
  </si>
  <si>
    <t>F</t>
    <phoneticPr fontId="1"/>
  </si>
  <si>
    <t>被乗数=1,乗数=0</t>
    <rPh sb="0" eb="1">
      <t>ヒ</t>
    </rPh>
    <rPh sb="1" eb="3">
      <t>ジョウスウ</t>
    </rPh>
    <rPh sb="6" eb="8">
      <t>ジョウスウ</t>
    </rPh>
    <phoneticPr fontId="1"/>
  </si>
  <si>
    <t>2</t>
    <phoneticPr fontId="1"/>
  </si>
  <si>
    <t>9</t>
    <phoneticPr fontId="1"/>
  </si>
  <si>
    <t>F</t>
    <phoneticPr fontId="1"/>
  </si>
  <si>
    <t>被乗数=1,乗数=1</t>
    <rPh sb="0" eb="1">
      <t>ヒ</t>
    </rPh>
    <rPh sb="1" eb="3">
      <t>ジョウスウ</t>
    </rPh>
    <rPh sb="6" eb="8">
      <t>ジョウスウ</t>
    </rPh>
    <phoneticPr fontId="1"/>
  </si>
  <si>
    <t>E1</t>
  </si>
  <si>
    <t>81</t>
  </si>
  <si>
    <t>5</t>
    <phoneticPr fontId="1"/>
  </si>
  <si>
    <t>2</t>
    <phoneticPr fontId="1"/>
  </si>
  <si>
    <t>8</t>
    <phoneticPr fontId="1"/>
  </si>
  <si>
    <t>被乗数=0,乗数=0,前桁carrier=0</t>
  </si>
  <si>
    <t>被乗数=0,乗数=0,前桁carrier=1</t>
  </si>
  <si>
    <t>被乗数=0,乗数=1,前桁carrier=0</t>
  </si>
  <si>
    <t>被乗数=0,乗数=1,前桁carrier=1</t>
  </si>
  <si>
    <t>被乗数=1,乗数=0,前桁carrier=0</t>
  </si>
  <si>
    <t>被乗数=1,乗数=0,前桁carrier=1</t>
  </si>
  <si>
    <t>被乗数=1,乗数=1,前桁carrier=0</t>
  </si>
  <si>
    <t>被乗数=1,乗数=1,前桁carrier=1</t>
  </si>
  <si>
    <t>0</t>
    <phoneticPr fontId="1"/>
  </si>
  <si>
    <t>00</t>
    <phoneticPr fontId="1"/>
  </si>
  <si>
    <t>-</t>
  </si>
  <si>
    <t>-</t>
    <phoneticPr fontId="1"/>
  </si>
  <si>
    <t>-</t>
    <phoneticPr fontId="1"/>
  </si>
  <si>
    <t>2</t>
    <phoneticPr fontId="1"/>
  </si>
  <si>
    <t>9</t>
    <phoneticPr fontId="1"/>
  </si>
  <si>
    <t>F</t>
    <phoneticPr fontId="1"/>
  </si>
  <si>
    <t>0</t>
    <phoneticPr fontId="1"/>
  </si>
  <si>
    <t>02</t>
    <phoneticPr fontId="1"/>
  </si>
  <si>
    <t>09</t>
    <phoneticPr fontId="1"/>
  </si>
  <si>
    <t>0F</t>
    <phoneticPr fontId="1"/>
  </si>
  <si>
    <t>0</t>
    <phoneticPr fontId="1"/>
  </si>
  <si>
    <t>-</t>
    <phoneticPr fontId="1"/>
  </si>
  <si>
    <t>-</t>
    <phoneticPr fontId="1"/>
  </si>
  <si>
    <t>ありえない→</t>
    <phoneticPr fontId="1"/>
  </si>
  <si>
    <t>20</t>
    <phoneticPr fontId="1"/>
  </si>
  <si>
    <t>90</t>
    <phoneticPr fontId="1"/>
  </si>
  <si>
    <t>F0</t>
    <phoneticPr fontId="1"/>
  </si>
  <si>
    <t>810</t>
  </si>
  <si>
    <t>E10</t>
  </si>
  <si>
    <t>99</t>
    <phoneticPr fontId="1"/>
  </si>
  <si>
    <t>FF</t>
    <phoneticPr fontId="1"/>
  </si>
  <si>
    <t>891</t>
  </si>
  <si>
    <t>EF1</t>
  </si>
  <si>
    <t>1</t>
    <phoneticPr fontId="1"/>
  </si>
  <si>
    <t>2</t>
    <phoneticPr fontId="1"/>
  </si>
  <si>
    <t>3</t>
    <phoneticPr fontId="1"/>
  </si>
  <si>
    <t>5</t>
    <phoneticPr fontId="1"/>
  </si>
  <si>
    <t>3</t>
    <phoneticPr fontId="1"/>
  </si>
  <si>
    <t>multiple</t>
    <phoneticPr fontId="1"/>
  </si>
  <si>
    <t>1010</t>
  </si>
  <si>
    <t>0</t>
    <phoneticPr fontId="1"/>
  </si>
  <si>
    <t>radix - 1</t>
    <phoneticPr fontId="1"/>
  </si>
  <si>
    <t>11</t>
    <phoneticPr fontId="1"/>
  </si>
  <si>
    <t>11</t>
    <phoneticPr fontId="1"/>
  </si>
  <si>
    <t>0</t>
    <phoneticPr fontId="1"/>
  </si>
  <si>
    <t>1</t>
    <phoneticPr fontId="1"/>
  </si>
  <si>
    <t>9</t>
    <phoneticPr fontId="1"/>
  </si>
  <si>
    <t>F</t>
    <phoneticPr fontId="1"/>
  </si>
  <si>
    <t>10</t>
    <phoneticPr fontId="1"/>
  </si>
  <si>
    <t>radix - 1, radix - 1</t>
    <phoneticPr fontId="1"/>
  </si>
  <si>
    <t>99</t>
    <phoneticPr fontId="1"/>
  </si>
  <si>
    <t>FF</t>
    <phoneticPr fontId="1"/>
  </si>
  <si>
    <t>1001</t>
  </si>
  <si>
    <t>22</t>
  </si>
  <si>
    <t>22</t>
    <phoneticPr fontId="1"/>
  </si>
  <si>
    <t>2</t>
    <phoneticPr fontId="1"/>
  </si>
  <si>
    <t>1012</t>
  </si>
  <si>
    <t>1089</t>
  </si>
  <si>
    <t>10EF</t>
  </si>
  <si>
    <t>2桁目が繰上りなし</t>
    <phoneticPr fontId="1"/>
  </si>
  <si>
    <t>20</t>
    <phoneticPr fontId="1"/>
  </si>
  <si>
    <t>12</t>
    <phoneticPr fontId="1"/>
  </si>
  <si>
    <t>15</t>
    <phoneticPr fontId="1"/>
  </si>
  <si>
    <t>300</t>
  </si>
  <si>
    <t>18</t>
    <phoneticPr fontId="1"/>
  </si>
  <si>
    <t>2桁目が繰上り</t>
    <phoneticPr fontId="1"/>
  </si>
  <si>
    <t>21</t>
    <phoneticPr fontId="1"/>
  </si>
  <si>
    <t>1120</t>
  </si>
  <si>
    <t>51</t>
    <phoneticPr fontId="1"/>
  </si>
  <si>
    <t>81</t>
    <phoneticPr fontId="1"/>
  </si>
  <si>
    <t>1020</t>
  </si>
  <si>
    <t>2桁目も繰上り</t>
    <phoneticPr fontId="1"/>
  </si>
  <si>
    <t>1桁目が繰上り、</t>
    <rPh sb="1" eb="2">
      <t>ケタ</t>
    </rPh>
    <rPh sb="2" eb="3">
      <t>メ</t>
    </rPh>
    <rPh sb="4" eb="5">
      <t>ク</t>
    </rPh>
    <rPh sb="5" eb="6">
      <t>ア</t>
    </rPh>
    <phoneticPr fontId="1"/>
  </si>
  <si>
    <t>1桁目が繰上りなし、</t>
    <rPh sb="1" eb="2">
      <t>ケタ</t>
    </rPh>
    <rPh sb="2" eb="3">
      <t>メ</t>
    </rPh>
    <rPh sb="4" eb="5">
      <t>ク</t>
    </rPh>
    <rPh sb="5" eb="6">
      <t>ア</t>
    </rPh>
    <phoneticPr fontId="1"/>
  </si>
  <si>
    <t>22</t>
    <phoneticPr fontId="1"/>
  </si>
  <si>
    <t>2101</t>
  </si>
  <si>
    <t>55</t>
    <phoneticPr fontId="1"/>
  </si>
  <si>
    <t>1210</t>
  </si>
  <si>
    <t>88</t>
    <phoneticPr fontId="1"/>
  </si>
  <si>
    <t>ループ3回</t>
    <rPh sb="4" eb="5">
      <t>カイ</t>
    </rPh>
    <phoneticPr fontId="1"/>
  </si>
  <si>
    <t>全ての桁で繰上り</t>
    <rPh sb="0" eb="1">
      <t>スベ</t>
    </rPh>
    <rPh sb="3" eb="4">
      <t>ケタ</t>
    </rPh>
    <rPh sb="5" eb="7">
      <t>クリアガ</t>
    </rPh>
    <phoneticPr fontId="1"/>
  </si>
  <si>
    <t>222</t>
    <phoneticPr fontId="1"/>
  </si>
  <si>
    <t>555</t>
    <phoneticPr fontId="1"/>
  </si>
  <si>
    <t>888</t>
    <phoneticPr fontId="1"/>
  </si>
  <si>
    <t>21201</t>
  </si>
  <si>
    <t>12210</t>
  </si>
  <si>
    <t>3桁目のみ繰上り</t>
    <rPh sb="1" eb="2">
      <t>ケタ</t>
    </rPh>
    <rPh sb="2" eb="3">
      <t>メ</t>
    </rPh>
    <rPh sb="5" eb="7">
      <t>クリアガ</t>
    </rPh>
    <phoneticPr fontId="1"/>
  </si>
  <si>
    <t>200</t>
    <phoneticPr fontId="1"/>
  </si>
  <si>
    <t>500</t>
    <phoneticPr fontId="1"/>
  </si>
  <si>
    <t>800</t>
    <phoneticPr fontId="1"/>
  </si>
  <si>
    <t>12100</t>
  </si>
  <si>
    <t>11000</t>
  </si>
  <si>
    <t>変換桁数</t>
    <rPh sb="0" eb="2">
      <t>ヘンカン</t>
    </rPh>
    <rPh sb="2" eb="4">
      <t>ケタスウ</t>
    </rPh>
    <phoneticPr fontId="1"/>
  </si>
  <si>
    <t>3333333333</t>
  </si>
  <si>
    <t>8</t>
  </si>
  <si>
    <t>0010010010</t>
  </si>
  <si>
    <t>2492492492</t>
  </si>
  <si>
    <t>0001</t>
  </si>
  <si>
    <t>0303030303</t>
  </si>
  <si>
    <t>2進→4進</t>
    <rPh sb="1" eb="2">
      <t>シン</t>
    </rPh>
    <phoneticPr fontId="1"/>
  </si>
  <si>
    <t>2進→8進</t>
    <rPh sb="1" eb="2">
      <t>シン</t>
    </rPh>
    <phoneticPr fontId="1"/>
  </si>
  <si>
    <t>16進→4進</t>
    <phoneticPr fontId="1"/>
  </si>
  <si>
    <t>16進→8進</t>
    <phoneticPr fontId="1"/>
  </si>
  <si>
    <t>8進→2進</t>
    <phoneticPr fontId="1"/>
  </si>
  <si>
    <t>8進→4進</t>
    <phoneticPr fontId="1"/>
  </si>
  <si>
    <t>8進→16進</t>
    <phoneticPr fontId="1"/>
  </si>
  <si>
    <t>0.0</t>
    <phoneticPr fontId="1"/>
  </si>
  <si>
    <t>0.10</t>
    <phoneticPr fontId="1"/>
  </si>
  <si>
    <t>001</t>
    <phoneticPr fontId="1"/>
  </si>
  <si>
    <t>0001</t>
    <phoneticPr fontId="1"/>
  </si>
  <si>
    <t>4</t>
    <phoneticPr fontId="1"/>
  </si>
  <si>
    <t>1</t>
    <phoneticPr fontId="1"/>
  </si>
  <si>
    <t>2</t>
    <phoneticPr fontId="1"/>
  </si>
  <si>
    <t>002</t>
    <phoneticPr fontId="1"/>
  </si>
  <si>
    <t>000001</t>
    <phoneticPr fontId="1"/>
  </si>
  <si>
    <t>01</t>
    <phoneticPr fontId="1"/>
  </si>
  <si>
    <t>00000001</t>
    <phoneticPr fontId="1"/>
  </si>
  <si>
    <t>000000001</t>
    <phoneticPr fontId="1"/>
  </si>
  <si>
    <t>000000000001</t>
    <phoneticPr fontId="1"/>
  </si>
  <si>
    <t>04</t>
    <phoneticPr fontId="1"/>
  </si>
  <si>
    <t>008</t>
    <phoneticPr fontId="1"/>
  </si>
  <si>
    <t>変換不要確認</t>
    <rPh sb="0" eb="2">
      <t>ヘンカン</t>
    </rPh>
    <rPh sb="2" eb="4">
      <t>フヨウ</t>
    </rPh>
    <rPh sb="4" eb="6">
      <t>カクニン</t>
    </rPh>
    <phoneticPr fontId="1"/>
  </si>
  <si>
    <t>変換最小</t>
    <rPh sb="0" eb="2">
      <t>ヘンカン</t>
    </rPh>
    <rPh sb="2" eb="4">
      <t>サイショウ</t>
    </rPh>
    <phoneticPr fontId="1"/>
  </si>
  <si>
    <t>右側の不要な0</t>
    <rPh sb="0" eb="2">
      <t>ミギガワ</t>
    </rPh>
    <rPh sb="3" eb="5">
      <t>フヨウ</t>
    </rPh>
    <phoneticPr fontId="1"/>
  </si>
  <si>
    <t>ループ回数</t>
    <rPh sb="3" eb="5">
      <t>カイスウ</t>
    </rPh>
    <phoneticPr fontId="1"/>
  </si>
  <si>
    <t>33</t>
  </si>
  <si>
    <t>333333333333333333333333333333333333333333333333333333333333333333333333333333333333333333333333333333333333333333333333333333333333333333333333333333333333333333333333333333333333333333333333333333333333333333333333333333333333333333333333333333333333333</t>
  </si>
  <si>
    <t>subtract</t>
    <phoneticPr fontId="1"/>
  </si>
  <si>
    <t>減算ループ回数</t>
    <rPh sb="0" eb="2">
      <t>ゲンザン</t>
    </rPh>
    <rPh sb="5" eb="7">
      <t>カイスウ</t>
    </rPh>
    <phoneticPr fontId="1"/>
  </si>
  <si>
    <t>1</t>
    <phoneticPr fontId="1"/>
  </si>
  <si>
    <t>1</t>
    <phoneticPr fontId="1"/>
  </si>
  <si>
    <t>9</t>
    <phoneticPr fontId="1"/>
  </si>
  <si>
    <t>F</t>
    <phoneticPr fontId="1"/>
  </si>
  <si>
    <t>10</t>
    <phoneticPr fontId="1"/>
  </si>
  <si>
    <t>1</t>
    <phoneticPr fontId="1"/>
  </si>
  <si>
    <t>100</t>
    <phoneticPr fontId="1"/>
  </si>
  <si>
    <t>1</t>
    <phoneticPr fontId="1"/>
  </si>
  <si>
    <t>大小比較</t>
    <rPh sb="0" eb="2">
      <t>ダイショウ</t>
    </rPh>
    <rPh sb="2" eb="4">
      <t>ヒカク</t>
    </rPh>
    <phoneticPr fontId="1"/>
  </si>
  <si>
    <t>一番左の桁でval1&gt;val2</t>
    <rPh sb="0" eb="2">
      <t>イチバン</t>
    </rPh>
    <rPh sb="2" eb="3">
      <t>ヒダリ</t>
    </rPh>
    <rPh sb="4" eb="5">
      <t>ケタ</t>
    </rPh>
    <phoneticPr fontId="1"/>
  </si>
  <si>
    <t>一番左の桁でval1&lt;val2</t>
    <rPh sb="0" eb="2">
      <t>イチバン</t>
    </rPh>
    <rPh sb="2" eb="3">
      <t>ヒダリ</t>
    </rPh>
    <rPh sb="4" eb="5">
      <t>ケタ</t>
    </rPh>
    <phoneticPr fontId="1"/>
  </si>
  <si>
    <t>一番右の桁でval1&gt;val2</t>
    <rPh sb="0" eb="2">
      <t>イチバン</t>
    </rPh>
    <rPh sb="2" eb="3">
      <t>ミギ</t>
    </rPh>
    <rPh sb="4" eb="5">
      <t>ケタ</t>
    </rPh>
    <phoneticPr fontId="1"/>
  </si>
  <si>
    <t>111</t>
    <phoneticPr fontId="1"/>
  </si>
  <si>
    <t>99</t>
    <phoneticPr fontId="1"/>
  </si>
  <si>
    <t>11</t>
    <phoneticPr fontId="1"/>
  </si>
  <si>
    <t>FFF</t>
    <phoneticPr fontId="1"/>
  </si>
  <si>
    <t>FF</t>
    <phoneticPr fontId="1"/>
  </si>
  <si>
    <t>199</t>
    <phoneticPr fontId="1"/>
  </si>
  <si>
    <t>1FF</t>
    <phoneticPr fontId="1"/>
  </si>
  <si>
    <t>111</t>
    <phoneticPr fontId="1"/>
  </si>
  <si>
    <t>110</t>
    <phoneticPr fontId="1"/>
  </si>
  <si>
    <t>999</t>
    <phoneticPr fontId="1"/>
  </si>
  <si>
    <t>998</t>
    <phoneticPr fontId="1"/>
  </si>
  <si>
    <t>FFF</t>
    <phoneticPr fontId="1"/>
  </si>
  <si>
    <t>FFE</t>
    <phoneticPr fontId="1"/>
  </si>
  <si>
    <t>一番右の桁でval1&lt;val2</t>
    <rPh sb="0" eb="2">
      <t>イチバン</t>
    </rPh>
    <rPh sb="2" eb="3">
      <t>ミギ</t>
    </rPh>
    <rPh sb="4" eb="5">
      <t>ケタ</t>
    </rPh>
    <phoneticPr fontId="1"/>
  </si>
  <si>
    <t>110</t>
    <phoneticPr fontId="1"/>
  </si>
  <si>
    <t>FFE</t>
    <phoneticPr fontId="1"/>
  </si>
  <si>
    <t>途中の桁でval1&gt;val2</t>
    <rPh sb="0" eb="2">
      <t>トチュウ</t>
    </rPh>
    <rPh sb="3" eb="4">
      <t>ケタ</t>
    </rPh>
    <phoneticPr fontId="1"/>
  </si>
  <si>
    <t>途中の桁でval1&lt;val2</t>
    <rPh sb="0" eb="2">
      <t>トチュウ</t>
    </rPh>
    <rPh sb="3" eb="4">
      <t>ケタ</t>
    </rPh>
    <phoneticPr fontId="1"/>
  </si>
  <si>
    <t>00100</t>
  </si>
  <si>
    <t>00100</t>
    <phoneticPr fontId="1"/>
  </si>
  <si>
    <t>99899</t>
  </si>
  <si>
    <t>99899</t>
    <phoneticPr fontId="1"/>
  </si>
  <si>
    <t>FFEFF</t>
  </si>
  <si>
    <t>FFEFF</t>
    <phoneticPr fontId="1"/>
  </si>
  <si>
    <t>99900</t>
  </si>
  <si>
    <t>99900</t>
    <phoneticPr fontId="1"/>
  </si>
  <si>
    <t>FFF00</t>
  </si>
  <si>
    <t>FFF00</t>
    <phoneticPr fontId="1"/>
  </si>
  <si>
    <t>00001</t>
  </si>
  <si>
    <t>00</t>
    <phoneticPr fontId="1"/>
  </si>
  <si>
    <t>00</t>
    <phoneticPr fontId="1"/>
  </si>
  <si>
    <t>減算アルゴリズム</t>
    <rPh sb="0" eb="2">
      <t>ゲンザン</t>
    </rPh>
    <phoneticPr fontId="1"/>
  </si>
  <si>
    <t>10</t>
    <phoneticPr fontId="1"/>
  </si>
  <si>
    <t>0</t>
    <phoneticPr fontId="1"/>
  </si>
  <si>
    <t>0</t>
    <phoneticPr fontId="1"/>
  </si>
  <si>
    <t>1</t>
    <phoneticPr fontId="1"/>
  </si>
  <si>
    <t>1</t>
    <phoneticPr fontId="1"/>
  </si>
  <si>
    <t>9</t>
    <phoneticPr fontId="1"/>
  </si>
  <si>
    <t>9</t>
    <phoneticPr fontId="1"/>
  </si>
  <si>
    <t>F</t>
    <phoneticPr fontId="1"/>
  </si>
  <si>
    <t>F</t>
    <phoneticPr fontId="1"/>
  </si>
  <si>
    <t>100</t>
    <phoneticPr fontId="1"/>
  </si>
  <si>
    <t>100</t>
    <phoneticPr fontId="1"/>
  </si>
  <si>
    <t>1</t>
    <phoneticPr fontId="1"/>
  </si>
  <si>
    <t>11</t>
    <phoneticPr fontId="1"/>
  </si>
  <si>
    <t>110</t>
    <phoneticPr fontId="1"/>
  </si>
  <si>
    <t>1</t>
    <phoneticPr fontId="1"/>
  </si>
  <si>
    <t>1</t>
    <phoneticPr fontId="1"/>
  </si>
  <si>
    <t>F</t>
    <phoneticPr fontId="1"/>
  </si>
  <si>
    <t>109</t>
  </si>
  <si>
    <t>109</t>
    <phoneticPr fontId="1"/>
  </si>
  <si>
    <t>19</t>
    <phoneticPr fontId="1"/>
  </si>
  <si>
    <t>10F</t>
  </si>
  <si>
    <t>10F</t>
    <phoneticPr fontId="1"/>
  </si>
  <si>
    <t>108</t>
    <phoneticPr fontId="1"/>
  </si>
  <si>
    <t>9</t>
    <phoneticPr fontId="1"/>
  </si>
  <si>
    <t>10E</t>
    <phoneticPr fontId="1"/>
  </si>
  <si>
    <t>F</t>
    <phoneticPr fontId="1"/>
  </si>
  <si>
    <t>101</t>
    <phoneticPr fontId="1"/>
  </si>
  <si>
    <t>1</t>
    <phoneticPr fontId="1"/>
  </si>
  <si>
    <t>1F</t>
    <phoneticPr fontId="1"/>
  </si>
  <si>
    <t>10E</t>
    <phoneticPr fontId="1"/>
  </si>
  <si>
    <t>1F</t>
    <phoneticPr fontId="1"/>
  </si>
  <si>
    <t>1F</t>
    <phoneticPr fontId="1"/>
  </si>
  <si>
    <t>F</t>
    <phoneticPr fontId="1"/>
  </si>
  <si>
    <t>118</t>
    <phoneticPr fontId="1"/>
  </si>
  <si>
    <t>11E</t>
    <phoneticPr fontId="1"/>
  </si>
  <si>
    <t>1E</t>
    <phoneticPr fontId="1"/>
  </si>
  <si>
    <t>090</t>
  </si>
  <si>
    <t>0F0</t>
  </si>
  <si>
    <t>089</t>
  </si>
  <si>
    <t>0EF</t>
  </si>
  <si>
    <t>マイナス値判定</t>
    <rPh sb="4" eb="5">
      <t>チ</t>
    </rPh>
    <rPh sb="5" eb="7">
      <t>ハンテイ</t>
    </rPh>
    <phoneticPr fontId="1"/>
  </si>
  <si>
    <t>0</t>
    <phoneticPr fontId="1"/>
  </si>
  <si>
    <t>1</t>
    <phoneticPr fontId="1"/>
  </si>
  <si>
    <t>8</t>
    <phoneticPr fontId="1"/>
  </si>
  <si>
    <t>9</t>
    <phoneticPr fontId="1"/>
  </si>
  <si>
    <t>E</t>
    <phoneticPr fontId="1"/>
  </si>
  <si>
    <t>F</t>
    <phoneticPr fontId="1"/>
  </si>
  <si>
    <t>7進→7進(0桁指定)</t>
    <rPh sb="7" eb="8">
      <t>ケタ</t>
    </rPh>
    <rPh sb="8" eb="10">
      <t>シテイ</t>
    </rPh>
    <phoneticPr fontId="1"/>
  </si>
  <si>
    <t>7進→16進(0桁指定)</t>
    <phoneticPr fontId="1"/>
  </si>
  <si>
    <t>1進</t>
    <rPh sb="1" eb="2">
      <t>シン</t>
    </rPh>
    <phoneticPr fontId="1"/>
  </si>
  <si>
    <t>2進</t>
    <rPh sb="1" eb="2">
      <t>シン</t>
    </rPh>
    <phoneticPr fontId="1"/>
  </si>
  <si>
    <t>10進</t>
    <rPh sb="2" eb="3">
      <t>シン</t>
    </rPh>
    <phoneticPr fontId="1"/>
  </si>
  <si>
    <t>16進</t>
    <rPh sb="2" eb="3">
      <t>シン</t>
    </rPh>
    <phoneticPr fontId="1"/>
  </si>
  <si>
    <t>17進</t>
    <rPh sb="2" eb="3">
      <t>シン</t>
    </rPh>
    <phoneticPr fontId="1"/>
  </si>
  <si>
    <t>文字コード範囲</t>
    <rPh sb="0" eb="2">
      <t>モジ</t>
    </rPh>
    <rPh sb="5" eb="7">
      <t>ハンイ</t>
    </rPh>
    <phoneticPr fontId="1"/>
  </si>
  <si>
    <t>Null文字列</t>
    <rPh sb="4" eb="7">
      <t>モジレツ</t>
    </rPh>
    <phoneticPr fontId="1"/>
  </si>
  <si>
    <t>基数範囲</t>
    <rPh sb="0" eb="2">
      <t>キスウ</t>
    </rPh>
    <rPh sb="2" eb="4">
      <t>ハンイ</t>
    </rPh>
    <phoneticPr fontId="1"/>
  </si>
  <si>
    <t>9進</t>
    <rPh sb="1" eb="2">
      <t>シン</t>
    </rPh>
    <phoneticPr fontId="1"/>
  </si>
  <si>
    <t>11進</t>
    <rPh sb="2" eb="3">
      <t>シン</t>
    </rPh>
    <phoneticPr fontId="1"/>
  </si>
  <si>
    <t>OK最小</t>
    <rPh sb="2" eb="4">
      <t>サイショウ</t>
    </rPh>
    <phoneticPr fontId="1"/>
  </si>
  <si>
    <t>OK最大</t>
    <rPh sb="2" eb="4">
      <t>サイダイ</t>
    </rPh>
    <phoneticPr fontId="1"/>
  </si>
  <si>
    <t>A</t>
    <phoneticPr fontId="1"/>
  </si>
  <si>
    <t>F</t>
    <phoneticPr fontId="1"/>
  </si>
  <si>
    <t>基数変換テーブルで</t>
    <rPh sb="0" eb="2">
      <t>キスウ</t>
    </rPh>
    <rPh sb="2" eb="4">
      <t>ヘンカン</t>
    </rPh>
    <phoneticPr fontId="1"/>
  </si>
  <si>
    <t>解決不可能</t>
    <phoneticPr fontId="1"/>
  </si>
  <si>
    <t>解決可能</t>
    <phoneticPr fontId="1"/>
  </si>
  <si>
    <t>3進(桁上りしない最大)</t>
  </si>
  <si>
    <t>3進(桁上り)</t>
  </si>
  <si>
    <t>10進(桁上りしない最大)</t>
  </si>
  <si>
    <t>10進(桁上り最小)</t>
  </si>
  <si>
    <t>10進(桁上り最大)</t>
  </si>
  <si>
    <t>16進(桁上りしない最大)</t>
  </si>
  <si>
    <t>16進(桁上り最小)</t>
  </si>
  <si>
    <t>16進(桁上り最大)</t>
  </si>
  <si>
    <t>変換テーブル内最小</t>
  </si>
  <si>
    <t>変換テーブル内中間</t>
  </si>
  <si>
    <t>変換テーブル内最大</t>
  </si>
  <si>
    <t>NG最小</t>
    <rPh sb="2" eb="4">
      <t>サイショウ</t>
    </rPh>
    <phoneticPr fontId="1"/>
  </si>
  <si>
    <t>A</t>
    <phoneticPr fontId="1"/>
  </si>
  <si>
    <t>B</t>
    <phoneticPr fontId="1"/>
  </si>
  <si>
    <t>G</t>
    <phoneticPr fontId="1"/>
  </si>
  <si>
    <t>8</t>
    <phoneticPr fontId="1"/>
  </si>
  <si>
    <t>9</t>
    <phoneticPr fontId="1"/>
  </si>
  <si>
    <t>NG検出位置</t>
    <rPh sb="2" eb="4">
      <t>ケンシュツ</t>
    </rPh>
    <rPh sb="4" eb="6">
      <t>イチ</t>
    </rPh>
    <phoneticPr fontId="1"/>
  </si>
  <si>
    <t>2文字目</t>
    <rPh sb="1" eb="4">
      <t>モジメ</t>
    </rPh>
    <phoneticPr fontId="1"/>
  </si>
  <si>
    <t>途中</t>
    <rPh sb="0" eb="2">
      <t>トチュウ</t>
    </rPh>
    <phoneticPr fontId="1"/>
  </si>
  <si>
    <t>最後</t>
    <rPh sb="0" eb="2">
      <t>サイゴ</t>
    </rPh>
    <phoneticPr fontId="1"/>
  </si>
  <si>
    <t>121</t>
    <phoneticPr fontId="1"/>
  </si>
  <si>
    <t>898</t>
    <phoneticPr fontId="1"/>
  </si>
  <si>
    <t>9A9</t>
    <phoneticPr fontId="1"/>
  </si>
  <si>
    <t>ABA</t>
    <phoneticPr fontId="1"/>
  </si>
  <si>
    <t>FGF</t>
    <phoneticPr fontId="1"/>
  </si>
  <si>
    <t>11211</t>
    <phoneticPr fontId="1"/>
  </si>
  <si>
    <t>88988</t>
    <phoneticPr fontId="1"/>
  </si>
  <si>
    <t>99A99</t>
    <phoneticPr fontId="1"/>
  </si>
  <si>
    <t>AABAA</t>
    <phoneticPr fontId="1"/>
  </si>
  <si>
    <t>FFGFF</t>
    <phoneticPr fontId="1"/>
  </si>
  <si>
    <t>11112</t>
    <phoneticPr fontId="1"/>
  </si>
  <si>
    <t>88889</t>
    <phoneticPr fontId="1"/>
  </si>
  <si>
    <t>9999A</t>
    <phoneticPr fontId="1"/>
  </si>
  <si>
    <t>AAAAB</t>
    <phoneticPr fontId="1"/>
  </si>
  <si>
    <t>FFFFG</t>
    <phoneticPr fontId="1"/>
  </si>
  <si>
    <t>すべてOK</t>
    <phoneticPr fontId="1"/>
  </si>
  <si>
    <t>01</t>
    <phoneticPr fontId="1"/>
  </si>
  <si>
    <t>01234567890</t>
    <phoneticPr fontId="1"/>
  </si>
  <si>
    <t>0123456780</t>
    <phoneticPr fontId="1"/>
  </si>
  <si>
    <t>0123456789A0</t>
    <phoneticPr fontId="1"/>
  </si>
  <si>
    <t>0123456789ABCDEF0</t>
    <phoneticPr fontId="1"/>
  </si>
  <si>
    <t>符号</t>
    <rPh sb="0" eb="2">
      <t>フゴウ</t>
    </rPh>
    <phoneticPr fontId="1"/>
  </si>
  <si>
    <t>1文字目</t>
    <rPh sb="1" eb="4">
      <t>モジメ</t>
    </rPh>
    <phoneticPr fontId="1"/>
  </si>
  <si>
    <t>2文字目</t>
    <rPh sb="1" eb="4">
      <t>モジメ</t>
    </rPh>
    <phoneticPr fontId="1"/>
  </si>
  <si>
    <t>-1</t>
    <phoneticPr fontId="1"/>
  </si>
  <si>
    <t>1-</t>
    <phoneticPr fontId="1"/>
  </si>
  <si>
    <t>小数点位置</t>
    <rPh sb="0" eb="3">
      <t>ショウスウテン</t>
    </rPh>
    <rPh sb="3" eb="5">
      <t>イチ</t>
    </rPh>
    <phoneticPr fontId="1"/>
  </si>
  <si>
    <t>.0</t>
    <phoneticPr fontId="1"/>
  </si>
  <si>
    <t>separateToIntAndFrc</t>
    <phoneticPr fontId="1"/>
  </si>
  <si>
    <t>Null文字列</t>
    <rPh sb="4" eb="7">
      <t>モジレツ</t>
    </rPh>
    <phoneticPr fontId="1"/>
  </si>
  <si>
    <t>基数が範囲外</t>
    <rPh sb="0" eb="2">
      <t>キスウ</t>
    </rPh>
    <rPh sb="3" eb="5">
      <t>ハンイ</t>
    </rPh>
    <rPh sb="5" eb="6">
      <t>ガイ</t>
    </rPh>
    <phoneticPr fontId="1"/>
  </si>
  <si>
    <t>1文字</t>
    <rPh sb="1" eb="3">
      <t>モジ</t>
    </rPh>
    <phoneticPr fontId="1"/>
  </si>
  <si>
    <t>2文字</t>
    <rPh sb="1" eb="3">
      <t>モジ</t>
    </rPh>
    <phoneticPr fontId="1"/>
  </si>
  <si>
    <t>3文字</t>
    <rPh sb="1" eb="3">
      <t>モジ</t>
    </rPh>
    <phoneticPr fontId="1"/>
  </si>
  <si>
    <t>整数部抽出</t>
    <rPh sb="0" eb="2">
      <t>セイスウ</t>
    </rPh>
    <rPh sb="2" eb="3">
      <t>ブ</t>
    </rPh>
    <rPh sb="3" eb="5">
      <t>チュウシュツ</t>
    </rPh>
    <phoneticPr fontId="1"/>
  </si>
  <si>
    <t>(+)</t>
    <phoneticPr fontId="1"/>
  </si>
  <si>
    <t>(-)</t>
    <phoneticPr fontId="1"/>
  </si>
  <si>
    <t>0.0</t>
    <phoneticPr fontId="1"/>
  </si>
  <si>
    <t>1文字目でdot</t>
    <rPh sb="1" eb="4">
      <t>モジメ</t>
    </rPh>
    <phoneticPr fontId="1"/>
  </si>
  <si>
    <t>2文字目でdot</t>
    <rPh sb="1" eb="4">
      <t>モジメ</t>
    </rPh>
    <phoneticPr fontId="1"/>
  </si>
  <si>
    <t>最後 - 1 文字目でdot</t>
    <rPh sb="0" eb="2">
      <t>サイゴ</t>
    </rPh>
    <rPh sb="7" eb="10">
      <t>モジメ</t>
    </rPh>
    <phoneticPr fontId="1"/>
  </si>
  <si>
    <t>2 and 3 文字目でdot</t>
    <rPh sb="8" eb="11">
      <t>モジメ</t>
    </rPh>
    <phoneticPr fontId="1"/>
  </si>
  <si>
    <t>0..3</t>
    <phoneticPr fontId="1"/>
  </si>
  <si>
    <t>0123.4</t>
    <phoneticPr fontId="1"/>
  </si>
  <si>
    <t>2 and (最後 - 1)文字目でdot</t>
    <rPh sb="7" eb="9">
      <t>サイゴ</t>
    </rPh>
    <rPh sb="14" eb="17">
      <t>モジメ</t>
    </rPh>
    <phoneticPr fontId="1"/>
  </si>
  <si>
    <t>0.819818.4</t>
    <phoneticPr fontId="1"/>
  </si>
  <si>
    <t>+</t>
  </si>
  <si>
    <t>+</t>
    <phoneticPr fontId="1"/>
  </si>
  <si>
    <t>-</t>
    <phoneticPr fontId="1"/>
  </si>
  <si>
    <t>-.0</t>
    <phoneticPr fontId="1"/>
  </si>
  <si>
    <t>-0.0</t>
    <phoneticPr fontId="1"/>
  </si>
  <si>
    <t>-0..3</t>
    <phoneticPr fontId="1"/>
  </si>
  <si>
    <t>-0123.4</t>
    <phoneticPr fontId="1"/>
  </si>
  <si>
    <t>-0.819818.4</t>
    <phoneticPr fontId="1"/>
  </si>
  <si>
    <t>12</t>
  </si>
  <si>
    <t>123</t>
  </si>
  <si>
    <t>123</t>
    <phoneticPr fontId="1"/>
  </si>
  <si>
    <t>-12</t>
    <phoneticPr fontId="1"/>
  </si>
  <si>
    <t>-123</t>
    <phoneticPr fontId="1"/>
  </si>
  <si>
    <t>小数部抽出</t>
    <rPh sb="0" eb="3">
      <t>ショウスウブ</t>
    </rPh>
    <rPh sb="3" eb="5">
      <t>チュウシュツ</t>
    </rPh>
    <phoneticPr fontId="1"/>
  </si>
  <si>
    <t>整数1文字</t>
    <rPh sb="0" eb="2">
      <t>セイスウ</t>
    </rPh>
    <rPh sb="3" eb="5">
      <t>モジ</t>
    </rPh>
    <phoneticPr fontId="1"/>
  </si>
  <si>
    <t>1.2</t>
    <phoneticPr fontId="1"/>
  </si>
  <si>
    <t>1.23</t>
    <phoneticPr fontId="1"/>
  </si>
  <si>
    <t>1.234</t>
    <phoneticPr fontId="1"/>
  </si>
  <si>
    <t>234</t>
  </si>
  <si>
    <t>整数2文字</t>
    <rPh sb="0" eb="2">
      <t>セイスウ</t>
    </rPh>
    <rPh sb="3" eb="5">
      <t>モジ</t>
    </rPh>
    <phoneticPr fontId="1"/>
  </si>
  <si>
    <t>整数3文字</t>
    <rPh sb="0" eb="2">
      <t>セイスウ</t>
    </rPh>
    <rPh sb="3" eb="5">
      <t>モジ</t>
    </rPh>
    <phoneticPr fontId="1"/>
  </si>
  <si>
    <t>12.3</t>
    <phoneticPr fontId="1"/>
  </si>
  <si>
    <t>12.34</t>
    <phoneticPr fontId="1"/>
  </si>
  <si>
    <t>12.345</t>
    <phoneticPr fontId="1"/>
  </si>
  <si>
    <t>34</t>
  </si>
  <si>
    <t>345</t>
  </si>
  <si>
    <t>123.4</t>
    <phoneticPr fontId="1"/>
  </si>
  <si>
    <t>123.45</t>
    <phoneticPr fontId="1"/>
  </si>
  <si>
    <t>123.456</t>
    <phoneticPr fontId="1"/>
  </si>
  <si>
    <t>45</t>
  </si>
  <si>
    <t>456</t>
  </si>
  <si>
    <t>-1.2</t>
    <phoneticPr fontId="1"/>
  </si>
  <si>
    <t>-1.23</t>
    <phoneticPr fontId="1"/>
  </si>
  <si>
    <t>-1.234</t>
    <phoneticPr fontId="1"/>
  </si>
  <si>
    <t>-12.3</t>
    <phoneticPr fontId="1"/>
  </si>
  <si>
    <t>-12.34</t>
    <phoneticPr fontId="1"/>
  </si>
  <si>
    <t>-12.345</t>
    <phoneticPr fontId="1"/>
  </si>
  <si>
    <t>-123.4</t>
    <phoneticPr fontId="1"/>
  </si>
  <si>
    <t>-123.45</t>
    <phoneticPr fontId="1"/>
  </si>
  <si>
    <t>-123.456</t>
    <phoneticPr fontId="1"/>
  </si>
  <si>
    <t>0削除</t>
    <rPh sb="1" eb="3">
      <t>サクジョ</t>
    </rPh>
    <phoneticPr fontId="1"/>
  </si>
  <si>
    <t>削除しない指定</t>
    <rPh sb="0" eb="2">
      <t>サクジョ</t>
    </rPh>
    <rPh sb="5" eb="7">
      <t>シテイ</t>
    </rPh>
    <phoneticPr fontId="1"/>
  </si>
  <si>
    <t>削除する</t>
    <rPh sb="0" eb="2">
      <t>サクジョ</t>
    </rPh>
    <phoneticPr fontId="1"/>
  </si>
  <si>
    <t>001.100</t>
    <phoneticPr fontId="1"/>
  </si>
  <si>
    <t>整数部がすべて0</t>
    <rPh sb="0" eb="3">
      <t>セイスウブ</t>
    </rPh>
    <phoneticPr fontId="1"/>
  </si>
  <si>
    <t>000.100</t>
    <phoneticPr fontId="1"/>
  </si>
  <si>
    <t>小数部がすべて0</t>
    <rPh sb="0" eb="3">
      <t>ショウスウブ</t>
    </rPh>
    <phoneticPr fontId="1"/>
  </si>
  <si>
    <t>整数&amp;小数すべてが0</t>
    <rPh sb="0" eb="2">
      <t>セイスウ</t>
    </rPh>
    <rPh sb="3" eb="5">
      <t>ショウスウ</t>
    </rPh>
    <phoneticPr fontId="1"/>
  </si>
  <si>
    <t>001.000</t>
    <phoneticPr fontId="1"/>
  </si>
  <si>
    <t>000.000</t>
    <phoneticPr fontId="1"/>
  </si>
  <si>
    <t>val1</t>
  </si>
  <si>
    <t>val1</t>
    <phoneticPr fontId="1"/>
  </si>
  <si>
    <t>val2</t>
    <phoneticPr fontId="1"/>
  </si>
  <si>
    <t>桁数合わせ</t>
    <rPh sb="0" eb="2">
      <t>ケタスウ</t>
    </rPh>
    <rPh sb="2" eb="3">
      <t>ア</t>
    </rPh>
    <phoneticPr fontId="1"/>
  </si>
  <si>
    <t>不要</t>
    <rPh sb="0" eb="2">
      <t>フヨウ</t>
    </rPh>
    <phoneticPr fontId="1"/>
  </si>
  <si>
    <t>1桁</t>
    <rPh sb="1" eb="2">
      <t>ケタ</t>
    </rPh>
    <phoneticPr fontId="1"/>
  </si>
  <si>
    <t>2桁</t>
    <rPh sb="1" eb="2">
      <t>ケタ</t>
    </rPh>
    <phoneticPr fontId="1"/>
  </si>
  <si>
    <t>0.4</t>
  </si>
  <si>
    <t>0.42</t>
  </si>
  <si>
    <t>0.523</t>
  </si>
  <si>
    <t>(-) (-)</t>
    <phoneticPr fontId="1"/>
  </si>
  <si>
    <t>(-) (+)</t>
    <phoneticPr fontId="1"/>
  </si>
  <si>
    <t>解が(+)</t>
    <rPh sb="0" eb="1">
      <t>カイ</t>
    </rPh>
    <phoneticPr fontId="1"/>
  </si>
  <si>
    <t>解が(-)</t>
    <rPh sb="0" eb="1">
      <t>カイ</t>
    </rPh>
    <phoneticPr fontId="1"/>
  </si>
  <si>
    <t>解が0</t>
    <rPh sb="0" eb="1">
      <t>カイ</t>
    </rPh>
    <phoneticPr fontId="1"/>
  </si>
  <si>
    <t>-10</t>
  </si>
  <si>
    <t>-1</t>
  </si>
  <si>
    <t>(+) (-)</t>
    <phoneticPr fontId="1"/>
  </si>
  <si>
    <t>(+) (+)</t>
    <phoneticPr fontId="1"/>
  </si>
  <si>
    <t>桁上りなし</t>
    <rPh sb="0" eb="2">
      <t>ケタアガ</t>
    </rPh>
    <phoneticPr fontId="1"/>
  </si>
  <si>
    <t>桁上りあり(小数点内)</t>
    <rPh sb="0" eb="2">
      <t>ケタアガ</t>
    </rPh>
    <rPh sb="6" eb="9">
      <t>ショウスウテン</t>
    </rPh>
    <rPh sb="9" eb="10">
      <t>ナイ</t>
    </rPh>
    <phoneticPr fontId="1"/>
  </si>
  <si>
    <t>小数点位置</t>
    <rPh sb="0" eb="3">
      <t>ショウスウテン</t>
    </rPh>
    <rPh sb="3" eb="5">
      <t>イチ</t>
    </rPh>
    <phoneticPr fontId="1"/>
  </si>
  <si>
    <t>桁上りあり(小数点またぎ)</t>
    <rPh sb="0" eb="2">
      <t>ケタアガ</t>
    </rPh>
    <rPh sb="6" eb="9">
      <t>ショウスウテン</t>
    </rPh>
    <phoneticPr fontId="1"/>
  </si>
  <si>
    <t>計算結果の不要0</t>
    <rPh sb="0" eb="4">
      <t>ケイサンケッカ</t>
    </rPh>
    <rPh sb="5" eb="7">
      <t>フヨウ</t>
    </rPh>
    <phoneticPr fontId="1"/>
  </si>
  <si>
    <t>小数</t>
    <rPh sb="0" eb="2">
      <t>ショウスウ</t>
    </rPh>
    <phoneticPr fontId="1"/>
  </si>
  <si>
    <t>小数点またがない</t>
    <rPh sb="0" eb="3">
      <t>ショウスウテン</t>
    </rPh>
    <phoneticPr fontId="1"/>
  </si>
  <si>
    <t>小数点またぎ</t>
    <rPh sb="0" eb="3">
      <t>ショウスウテン</t>
    </rPh>
    <phoneticPr fontId="1"/>
  </si>
  <si>
    <t>整数</t>
    <rPh sb="0" eb="2">
      <t>セイスウ</t>
    </rPh>
    <phoneticPr fontId="1"/>
  </si>
  <si>
    <t>符号</t>
    <rPh sb="0" eb="2">
      <t>フゴウ</t>
    </rPh>
    <phoneticPr fontId="1"/>
  </si>
  <si>
    <t>0.9</t>
  </si>
  <si>
    <t>0.1</t>
  </si>
  <si>
    <t>radix</t>
    <phoneticPr fontId="1"/>
  </si>
  <si>
    <t>被乗数</t>
    <rPh sb="0" eb="3">
      <t>ヒジョウスウ</t>
    </rPh>
    <phoneticPr fontId="1"/>
  </si>
  <si>
    <t>乗数</t>
    <rPh sb="0" eb="2">
      <t>ジョウスウ</t>
    </rPh>
    <phoneticPr fontId="1"/>
  </si>
  <si>
    <t>2進数</t>
    <rPh sb="1" eb="3">
      <t>シンスウ</t>
    </rPh>
    <phoneticPr fontId="1"/>
  </si>
  <si>
    <t>10進数</t>
    <rPh sb="2" eb="4">
      <t>シンスウ</t>
    </rPh>
    <phoneticPr fontId="1"/>
  </si>
  <si>
    <t>16進数</t>
    <rPh sb="2" eb="3">
      <t>シン</t>
    </rPh>
    <rPh sb="3" eb="4">
      <t>スウ</t>
    </rPh>
    <phoneticPr fontId="1"/>
  </si>
  <si>
    <t>少数</t>
    <rPh sb="0" eb="2">
      <t>ショウスウ</t>
    </rPh>
    <phoneticPr fontId="1"/>
  </si>
  <si>
    <t>少数 少数</t>
    <rPh sb="0" eb="2">
      <t>ショウスウ</t>
    </rPh>
    <rPh sb="3" eb="5">
      <t>ショウスウ</t>
    </rPh>
    <phoneticPr fontId="1"/>
  </si>
  <si>
    <t>少数 整数</t>
    <rPh sb="0" eb="2">
      <t>ショウスウ</t>
    </rPh>
    <rPh sb="3" eb="5">
      <t>セイスウ</t>
    </rPh>
    <phoneticPr fontId="1"/>
  </si>
  <si>
    <t>繰り上がりなし</t>
    <rPh sb="0" eb="1">
      <t>ク</t>
    </rPh>
    <rPh sb="2" eb="3">
      <t>ア</t>
    </rPh>
    <phoneticPr fontId="1"/>
  </si>
  <si>
    <t>繰り上がりあり</t>
    <rPh sb="0" eb="1">
      <t>ク</t>
    </rPh>
    <rPh sb="2" eb="3">
      <t>ア</t>
    </rPh>
    <phoneticPr fontId="1"/>
  </si>
  <si>
    <t>繰り上がりあり(小数点またぎ)</t>
    <rPh sb="0" eb="1">
      <t>ク</t>
    </rPh>
    <rPh sb="2" eb="3">
      <t>ア</t>
    </rPh>
    <rPh sb="8" eb="11">
      <t>ショウスウテン</t>
    </rPh>
    <phoneticPr fontId="1"/>
  </si>
  <si>
    <t>未指定OK</t>
    <rPh sb="0" eb="3">
      <t>ミシテイ</t>
    </rPh>
    <phoneticPr fontId="1"/>
  </si>
  <si>
    <t>未指定NG</t>
    <rPh sb="0" eb="3">
      <t>ミシテイ</t>
    </rPh>
    <phoneticPr fontId="1"/>
  </si>
  <si>
    <t>A</t>
    <phoneticPr fontId="1"/>
  </si>
  <si>
    <t>radix</t>
  </si>
  <si>
    <t>0.2</t>
  </si>
  <si>
    <t>0.002</t>
  </si>
  <si>
    <t>0.01</t>
  </si>
  <si>
    <t>乗数少数部の桁数</t>
    <rPh sb="0" eb="2">
      <t>ジョウスウ</t>
    </rPh>
    <rPh sb="2" eb="4">
      <t>ショウスウ</t>
    </rPh>
    <rPh sb="4" eb="5">
      <t>ブ</t>
    </rPh>
    <rPh sb="6" eb="8">
      <t>ケタスウ</t>
    </rPh>
    <phoneticPr fontId="1"/>
  </si>
  <si>
    <t>被乗数の桁数で収まる</t>
    <rPh sb="0" eb="3">
      <t>ヒジョウスウ</t>
    </rPh>
    <rPh sb="4" eb="6">
      <t>ケタスウ</t>
    </rPh>
    <rPh sb="7" eb="8">
      <t>オサ</t>
    </rPh>
    <phoneticPr fontId="1"/>
  </si>
  <si>
    <t>被乗数の桁数で収まる(最大)</t>
    <rPh sb="0" eb="3">
      <t>ヒジョウスウ</t>
    </rPh>
    <rPh sb="4" eb="6">
      <t>ケタスウ</t>
    </rPh>
    <rPh sb="7" eb="8">
      <t>オサ</t>
    </rPh>
    <rPh sb="11" eb="13">
      <t>サイダイ</t>
    </rPh>
    <phoneticPr fontId="1"/>
  </si>
  <si>
    <t>被乗数の桁数で収まらない(最小)</t>
    <rPh sb="0" eb="3">
      <t>ヒジョウスウ</t>
    </rPh>
    <rPh sb="4" eb="6">
      <t>ケタスウ</t>
    </rPh>
    <rPh sb="7" eb="8">
      <t>オサ</t>
    </rPh>
    <rPh sb="13" eb="15">
      <t>サイショウ</t>
    </rPh>
    <phoneticPr fontId="1"/>
  </si>
  <si>
    <t>被乗数の桁数で収まらない(最小+1)</t>
    <rPh sb="0" eb="3">
      <t>ヒジョウスウ</t>
    </rPh>
    <rPh sb="4" eb="6">
      <t>ケタスウ</t>
    </rPh>
    <rPh sb="7" eb="8">
      <t>オサ</t>
    </rPh>
    <rPh sb="13" eb="15">
      <t>サイショウ</t>
    </rPh>
    <phoneticPr fontId="1"/>
  </si>
  <si>
    <t>23.4</t>
  </si>
  <si>
    <t>2.34</t>
  </si>
  <si>
    <t>0.234</t>
  </si>
  <si>
    <t>0.0234</t>
  </si>
  <si>
    <t>符号</t>
    <rPh sb="0" eb="2">
      <t>フゴウ</t>
    </rPh>
    <phoneticPr fontId="1"/>
  </si>
  <si>
    <t>(+) (+)</t>
    <phoneticPr fontId="1"/>
  </si>
  <si>
    <t>-0</t>
    <phoneticPr fontId="1"/>
  </si>
  <si>
    <t>6</t>
  </si>
  <si>
    <t>-6</t>
  </si>
  <si>
    <t>(-) (-)</t>
  </si>
  <si>
    <t>F</t>
    <phoneticPr fontId="1"/>
  </si>
  <si>
    <t>divideでエラー</t>
    <phoneticPr fontId="1"/>
  </si>
  <si>
    <t>整数 整数</t>
    <rPh sb="0" eb="2">
      <t>セイスウ</t>
    </rPh>
    <rPh sb="3" eb="5">
      <t>セイスウ</t>
    </rPh>
    <phoneticPr fontId="1"/>
  </si>
  <si>
    <t>桁が減る</t>
    <rPh sb="0" eb="1">
      <t>ケタ</t>
    </rPh>
    <rPh sb="2" eb="3">
      <t>ヘ</t>
    </rPh>
    <phoneticPr fontId="1"/>
  </si>
  <si>
    <t>桁が減る(小数点以下1桁)</t>
    <rPh sb="0" eb="1">
      <t>ケタ</t>
    </rPh>
    <rPh sb="2" eb="3">
      <t>ヘ</t>
    </rPh>
    <rPh sb="5" eb="8">
      <t>ショウスウテン</t>
    </rPh>
    <rPh sb="8" eb="10">
      <t>イカ</t>
    </rPh>
    <rPh sb="11" eb="12">
      <t>ケタ</t>
    </rPh>
    <phoneticPr fontId="1"/>
  </si>
  <si>
    <t>桁が減る(小数点以下2桁)</t>
    <rPh sb="0" eb="1">
      <t>ケタ</t>
    </rPh>
    <rPh sb="2" eb="3">
      <t>ヘ</t>
    </rPh>
    <rPh sb="5" eb="8">
      <t>ショウスウテン</t>
    </rPh>
    <rPh sb="8" eb="10">
      <t>イカ</t>
    </rPh>
    <rPh sb="11" eb="12">
      <t>ケタ</t>
    </rPh>
    <phoneticPr fontId="1"/>
  </si>
  <si>
    <t>桁が減る(小数点以下3桁)</t>
    <rPh sb="0" eb="1">
      <t>ケタ</t>
    </rPh>
    <rPh sb="2" eb="3">
      <t>ヘ</t>
    </rPh>
    <rPh sb="5" eb="8">
      <t>ショウスウテン</t>
    </rPh>
    <rPh sb="8" eb="10">
      <t>イカ</t>
    </rPh>
    <rPh sb="11" eb="12">
      <t>ケタ</t>
    </rPh>
    <phoneticPr fontId="1"/>
  </si>
  <si>
    <t>桁はそのまま</t>
    <rPh sb="0" eb="1">
      <t>ケタ</t>
    </rPh>
    <phoneticPr fontId="1"/>
  </si>
  <si>
    <t>オーバーフロー</t>
    <phoneticPr fontId="1"/>
  </si>
  <si>
    <t>被除数</t>
    <rPh sb="0" eb="1">
      <t>ヒ</t>
    </rPh>
    <rPh sb="1" eb="3">
      <t>ジョスウ</t>
    </rPh>
    <phoneticPr fontId="1"/>
  </si>
  <si>
    <t>除数</t>
    <rPh sb="0" eb="2">
      <t>ジョスウ</t>
    </rPh>
    <phoneticPr fontId="1"/>
  </si>
  <si>
    <t>0.5</t>
  </si>
  <si>
    <t>0.05</t>
  </si>
  <si>
    <t>0.005</t>
  </si>
  <si>
    <t>整数 少数</t>
    <rPh sb="0" eb="2">
      <t>セイスウ</t>
    </rPh>
    <rPh sb="3" eb="5">
      <t>ショウスウ</t>
    </rPh>
    <phoneticPr fontId="1"/>
  </si>
  <si>
    <t>桁が減る(小数点またぎ1桁)</t>
    <rPh sb="0" eb="1">
      <t>ケタ</t>
    </rPh>
    <rPh sb="2" eb="3">
      <t>ヘ</t>
    </rPh>
    <rPh sb="5" eb="8">
      <t>ショウスウテン</t>
    </rPh>
    <rPh sb="12" eb="13">
      <t>ケタ</t>
    </rPh>
    <phoneticPr fontId="1"/>
  </si>
  <si>
    <t>桁が減る(小数点またぎ2桁)</t>
    <rPh sb="0" eb="1">
      <t>ケタ</t>
    </rPh>
    <rPh sb="2" eb="3">
      <t>ヘ</t>
    </rPh>
    <rPh sb="5" eb="8">
      <t>ショウスウテン</t>
    </rPh>
    <rPh sb="12" eb="13">
      <t>ケタ</t>
    </rPh>
    <phoneticPr fontId="1"/>
  </si>
  <si>
    <t>桁が減る(小数点またぎ3桁)</t>
    <rPh sb="0" eb="1">
      <t>ケタ</t>
    </rPh>
    <rPh sb="2" eb="3">
      <t>ヘ</t>
    </rPh>
    <rPh sb="5" eb="8">
      <t>ショウスウテン</t>
    </rPh>
    <rPh sb="12" eb="13">
      <t>ケタ</t>
    </rPh>
    <phoneticPr fontId="1"/>
  </si>
  <si>
    <t>桁が増える(1桁)</t>
    <rPh sb="0" eb="1">
      <t>ケタ</t>
    </rPh>
    <rPh sb="2" eb="3">
      <t>フ</t>
    </rPh>
    <rPh sb="7" eb="8">
      <t>ケタ</t>
    </rPh>
    <phoneticPr fontId="1"/>
  </si>
  <si>
    <t>桁が増える(2桁)</t>
    <rPh sb="0" eb="1">
      <t>ケタ</t>
    </rPh>
    <rPh sb="2" eb="3">
      <t>フ</t>
    </rPh>
    <rPh sb="7" eb="8">
      <t>ケタ</t>
    </rPh>
    <phoneticPr fontId="1"/>
  </si>
  <si>
    <t>桁が増える(3桁)</t>
    <rPh sb="0" eb="1">
      <t>ケタ</t>
    </rPh>
    <rPh sb="2" eb="3">
      <t>フ</t>
    </rPh>
    <rPh sb="7" eb="8">
      <t>ケタ</t>
    </rPh>
    <phoneticPr fontId="1"/>
  </si>
  <si>
    <t>20</t>
  </si>
  <si>
    <t>200</t>
  </si>
  <si>
    <t>10000</t>
  </si>
  <si>
    <t>-12</t>
  </si>
  <si>
    <t>0割</t>
    <rPh sb="1" eb="2">
      <t>ワリ</t>
    </rPh>
    <phoneticPr fontId="1"/>
  </si>
  <si>
    <t>桁数指定</t>
    <rPh sb="0" eb="2">
      <t>ケタスウ</t>
    </rPh>
    <rPh sb="2" eb="4">
      <t>シテイ</t>
    </rPh>
    <phoneticPr fontId="1"/>
  </si>
  <si>
    <t>1桁</t>
    <phoneticPr fontId="1"/>
  </si>
  <si>
    <t>2桁</t>
    <phoneticPr fontId="1"/>
  </si>
  <si>
    <t>255桁</t>
    <phoneticPr fontId="1"/>
  </si>
  <si>
    <t>変換元数値列チェック</t>
    <rPh sb="0" eb="3">
      <t>ヘンカンモト</t>
    </rPh>
    <rPh sb="3" eb="5">
      <t>スウチ</t>
    </rPh>
    <rPh sb="5" eb="6">
      <t>レツ</t>
    </rPh>
    <phoneticPr fontId="1"/>
  </si>
  <si>
    <t>数値列中にNG文字</t>
    <rPh sb="0" eb="2">
      <t>スウチ</t>
    </rPh>
    <rPh sb="2" eb="3">
      <t>レツ</t>
    </rPh>
    <rPh sb="3" eb="4">
      <t>チュウ</t>
    </rPh>
    <rPh sb="7" eb="9">
      <t>モジ</t>
    </rPh>
    <phoneticPr fontId="1"/>
  </si>
  <si>
    <t>数値列がNULL</t>
    <rPh sb="0" eb="2">
      <t>スウチ</t>
    </rPh>
    <rPh sb="2" eb="3">
      <t>レツ</t>
    </rPh>
    <phoneticPr fontId="1"/>
  </si>
  <si>
    <t>A</t>
    <phoneticPr fontId="1"/>
  </si>
  <si>
    <t>変換先基数チェック</t>
    <rPh sb="0" eb="3">
      <t>ヘンカンサキ</t>
    </rPh>
    <rPh sb="3" eb="5">
      <t>キスウ</t>
    </rPh>
    <phoneticPr fontId="1"/>
  </si>
  <si>
    <t>NG最大</t>
    <rPh sb="2" eb="4">
      <t>サイダイ</t>
    </rPh>
    <phoneticPr fontId="1"/>
  </si>
  <si>
    <t>OK最小</t>
    <rPh sb="2" eb="4">
      <t>サイショウ</t>
    </rPh>
    <phoneticPr fontId="1"/>
  </si>
  <si>
    <t>OK中間</t>
    <rPh sb="2" eb="4">
      <t>チュウカン</t>
    </rPh>
    <phoneticPr fontId="1"/>
  </si>
  <si>
    <t>OK最大</t>
    <rPh sb="2" eb="4">
      <t>サイダイ</t>
    </rPh>
    <phoneticPr fontId="1"/>
  </si>
  <si>
    <t>NG最小</t>
    <rPh sb="2" eb="4">
      <t>サイショウ</t>
    </rPh>
    <phoneticPr fontId="1"/>
  </si>
  <si>
    <t>小数部</t>
    <rPh sb="0" eb="3">
      <t>ショウスウブ</t>
    </rPh>
    <phoneticPr fontId="1"/>
  </si>
  <si>
    <t>1桁</t>
    <rPh sb="1" eb="2">
      <t>ケタ</t>
    </rPh>
    <phoneticPr fontId="1"/>
  </si>
  <si>
    <t>2桁</t>
    <rPh sb="1" eb="2">
      <t>ケタ</t>
    </rPh>
    <phoneticPr fontId="1"/>
  </si>
  <si>
    <t>桁数範囲内</t>
    <rPh sb="0" eb="2">
      <t>ケタスウ</t>
    </rPh>
    <rPh sb="2" eb="5">
      <t>ハンイナイ</t>
    </rPh>
    <phoneticPr fontId="1"/>
  </si>
  <si>
    <t>範囲内最大</t>
    <rPh sb="0" eb="3">
      <t>ハンイナイ</t>
    </rPh>
    <rPh sb="3" eb="5">
      <t>サイダイ</t>
    </rPh>
    <phoneticPr fontId="1"/>
  </si>
  <si>
    <t>範囲外</t>
    <rPh sb="0" eb="3">
      <t>ハンイガイ</t>
    </rPh>
    <phoneticPr fontId="1"/>
  </si>
  <si>
    <t>0桁</t>
    <rPh sb="1" eb="2">
      <t>ケタ</t>
    </rPh>
    <phoneticPr fontId="1"/>
  </si>
  <si>
    <t>1桁</t>
    <phoneticPr fontId="1"/>
  </si>
  <si>
    <t>2桁</t>
    <phoneticPr fontId="1"/>
  </si>
  <si>
    <t>符号</t>
    <rPh sb="0" eb="2">
      <t>フゴウ</t>
    </rPh>
    <phoneticPr fontId="1"/>
  </si>
  <si>
    <t>(+)</t>
    <phoneticPr fontId="1"/>
  </si>
  <si>
    <t>(-)</t>
    <phoneticPr fontId="1"/>
  </si>
  <si>
    <t>0.0625</t>
    <phoneticPr fontId="1"/>
  </si>
  <si>
    <t>0.03125</t>
  </si>
  <si>
    <t>0.03125</t>
    <phoneticPr fontId="1"/>
  </si>
  <si>
    <t>0.08</t>
  </si>
  <si>
    <t>記載なし</t>
    <rPh sb="0" eb="2">
      <t>キサイ</t>
    </rPh>
    <phoneticPr fontId="1"/>
  </si>
  <si>
    <t>0.0</t>
    <phoneticPr fontId="1"/>
  </si>
  <si>
    <t>0</t>
    <phoneticPr fontId="1"/>
  </si>
  <si>
    <t>0.1</t>
    <phoneticPr fontId="1"/>
  </si>
  <si>
    <t>0.19</t>
  </si>
  <si>
    <t>0.199999999999999999999999999999999999999999999999999999999999999999999999999999999999999999999999999999999999999999999999999999999999999999999999999999999999999999999999999999999999999999999999999999999999999999999999999999999999999999999999999999999999999</t>
  </si>
  <si>
    <t>未指定</t>
    <rPh sb="0" eb="3">
      <t>ミシテイ</t>
    </rPh>
    <phoneticPr fontId="1"/>
  </si>
  <si>
    <t>0.199999999999999999999999999999</t>
  </si>
  <si>
    <t>15</t>
    <phoneticPr fontId="1"/>
  </si>
  <si>
    <t>-15</t>
    <phoneticPr fontId="1"/>
  </si>
  <si>
    <t>-F</t>
  </si>
  <si>
    <t>getDiminishedRadixComplement</t>
    <phoneticPr fontId="1"/>
  </si>
  <si>
    <t>変換ループ</t>
    <rPh sb="0" eb="2">
      <t>ヘンカン</t>
    </rPh>
    <phoneticPr fontId="1"/>
  </si>
  <si>
    <t>1回</t>
    <rPh sb="1" eb="2">
      <t>カイ</t>
    </rPh>
    <phoneticPr fontId="1"/>
  </si>
  <si>
    <t>2進数(境界最小)</t>
    <rPh sb="1" eb="3">
      <t>シンスウ</t>
    </rPh>
    <rPh sb="4" eb="6">
      <t>キョウカイ</t>
    </rPh>
    <rPh sb="6" eb="8">
      <t>サイショウ</t>
    </rPh>
    <phoneticPr fontId="1"/>
  </si>
  <si>
    <t>2進数(境界最大)</t>
    <rPh sb="1" eb="3">
      <t>シンスウ</t>
    </rPh>
    <rPh sb="4" eb="6">
      <t>キョウカイ</t>
    </rPh>
    <rPh sb="6" eb="8">
      <t>サイダイ</t>
    </rPh>
    <phoneticPr fontId="1"/>
  </si>
  <si>
    <t>7進数(境界最小)</t>
    <rPh sb="1" eb="3">
      <t>シンスウ</t>
    </rPh>
    <rPh sb="4" eb="6">
      <t>キョウカイ</t>
    </rPh>
    <rPh sb="6" eb="8">
      <t>サイショウ</t>
    </rPh>
    <phoneticPr fontId="1"/>
  </si>
  <si>
    <t>7進数(境界最大)</t>
    <rPh sb="1" eb="3">
      <t>シンスウ</t>
    </rPh>
    <rPh sb="4" eb="6">
      <t>キョウカイ</t>
    </rPh>
    <rPh sb="6" eb="8">
      <t>サイダイ</t>
    </rPh>
    <phoneticPr fontId="1"/>
  </si>
  <si>
    <t>7進数(中間)</t>
    <rPh sb="1" eb="3">
      <t>シンスウ</t>
    </rPh>
    <rPh sb="4" eb="6">
      <t>チュウカン</t>
    </rPh>
    <phoneticPr fontId="1"/>
  </si>
  <si>
    <t>0</t>
    <phoneticPr fontId="1"/>
  </si>
  <si>
    <t>1</t>
    <phoneticPr fontId="1"/>
  </si>
  <si>
    <t>3</t>
    <phoneticPr fontId="1"/>
  </si>
  <si>
    <t>7</t>
  </si>
  <si>
    <t>6</t>
    <phoneticPr fontId="1"/>
  </si>
  <si>
    <t>16進数(境界最小)</t>
    <rPh sb="2" eb="4">
      <t>シンスウ</t>
    </rPh>
    <rPh sb="5" eb="7">
      <t>キョウカイ</t>
    </rPh>
    <rPh sb="7" eb="9">
      <t>サイショウ</t>
    </rPh>
    <phoneticPr fontId="1"/>
  </si>
  <si>
    <t>16進数(中間)</t>
    <rPh sb="2" eb="4">
      <t>シンスウ</t>
    </rPh>
    <rPh sb="5" eb="7">
      <t>チュウカン</t>
    </rPh>
    <phoneticPr fontId="1"/>
  </si>
  <si>
    <t>16進数(境界最大)</t>
    <rPh sb="2" eb="4">
      <t>シンスウ</t>
    </rPh>
    <rPh sb="5" eb="7">
      <t>キョウカイ</t>
    </rPh>
    <rPh sb="7" eb="9">
      <t>サイダイ</t>
    </rPh>
    <phoneticPr fontId="1"/>
  </si>
  <si>
    <t>8</t>
    <phoneticPr fontId="1"/>
  </si>
  <si>
    <t>F</t>
    <phoneticPr fontId="1"/>
  </si>
  <si>
    <t>2回</t>
    <rPh sb="1" eb="2">
      <t>カイ</t>
    </rPh>
    <phoneticPr fontId="1"/>
  </si>
  <si>
    <t>2進数</t>
    <rPh sb="1" eb="3">
      <t>シンスウ</t>
    </rPh>
    <phoneticPr fontId="1"/>
  </si>
  <si>
    <t>10</t>
    <phoneticPr fontId="1"/>
  </si>
  <si>
    <t>01</t>
    <phoneticPr fontId="1"/>
  </si>
  <si>
    <t>7進数</t>
    <rPh sb="1" eb="3">
      <t>シンスウ</t>
    </rPh>
    <phoneticPr fontId="1"/>
  </si>
  <si>
    <t>60</t>
  </si>
  <si>
    <t>60</t>
    <phoneticPr fontId="1"/>
  </si>
  <si>
    <t>06</t>
  </si>
  <si>
    <t>06</t>
    <phoneticPr fontId="1"/>
  </si>
  <si>
    <t>F0</t>
  </si>
  <si>
    <t>F0</t>
    <phoneticPr fontId="1"/>
  </si>
  <si>
    <t>0F</t>
    <phoneticPr fontId="1"/>
  </si>
  <si>
    <t>16進数</t>
    <rPh sb="2" eb="4">
      <t>シンスウ</t>
    </rPh>
    <phoneticPr fontId="1"/>
  </si>
  <si>
    <t>3回</t>
    <rPh sb="1" eb="2">
      <t>カイ</t>
    </rPh>
    <phoneticPr fontId="1"/>
  </si>
  <si>
    <t>110</t>
    <phoneticPr fontId="1"/>
  </si>
  <si>
    <t>001</t>
    <phoneticPr fontId="1"/>
  </si>
  <si>
    <t>630</t>
  </si>
  <si>
    <t>630</t>
    <phoneticPr fontId="1"/>
  </si>
  <si>
    <t>036</t>
  </si>
  <si>
    <t>036</t>
    <phoneticPr fontId="1"/>
  </si>
  <si>
    <t>F80</t>
    <phoneticPr fontId="1"/>
  </si>
  <si>
    <t>08F</t>
    <phoneticPr fontId="1"/>
  </si>
  <si>
    <t>07F</t>
  </si>
  <si>
    <t>F70</t>
  </si>
  <si>
    <t>整数&amp;小数部の切り出し</t>
    <rPh sb="0" eb="2">
      <t>セイスウ</t>
    </rPh>
    <rPh sb="3" eb="6">
      <t>ショウスウブ</t>
    </rPh>
    <rPh sb="7" eb="8">
      <t>キ</t>
    </rPh>
    <rPh sb="9" eb="10">
      <t>ダ</t>
    </rPh>
    <phoneticPr fontId="1"/>
  </si>
  <si>
    <t>整数1</t>
    <rPh sb="0" eb="2">
      <t>セイスウ</t>
    </rPh>
    <phoneticPr fontId="1"/>
  </si>
  <si>
    <t>小数0</t>
    <rPh sb="0" eb="2">
      <t>ショウスウ</t>
    </rPh>
    <phoneticPr fontId="1"/>
  </si>
  <si>
    <t>小数1</t>
    <rPh sb="0" eb="2">
      <t>ショウスウ</t>
    </rPh>
    <phoneticPr fontId="1"/>
  </si>
  <si>
    <t>小数2</t>
    <rPh sb="0" eb="2">
      <t>ショウスウ</t>
    </rPh>
    <phoneticPr fontId="1"/>
  </si>
  <si>
    <t>小数3</t>
    <rPh sb="0" eb="2">
      <t>ショウスウ</t>
    </rPh>
    <phoneticPr fontId="1"/>
  </si>
  <si>
    <t>整数2</t>
    <rPh sb="0" eb="2">
      <t>セイスウ</t>
    </rPh>
    <phoneticPr fontId="1"/>
  </si>
  <si>
    <t>整数3</t>
    <rPh sb="0" eb="2">
      <t>セイスウ</t>
    </rPh>
    <phoneticPr fontId="1"/>
  </si>
  <si>
    <t>9.0</t>
  </si>
  <si>
    <t>9.01</t>
  </si>
  <si>
    <t>9.012</t>
  </si>
  <si>
    <t>0.9</t>
    <phoneticPr fontId="1"/>
  </si>
  <si>
    <t>0.98</t>
    <phoneticPr fontId="1"/>
  </si>
  <si>
    <t>0.987</t>
    <phoneticPr fontId="1"/>
  </si>
  <si>
    <t>12</t>
    <phoneticPr fontId="1"/>
  </si>
  <si>
    <t>12.9</t>
    <phoneticPr fontId="1"/>
  </si>
  <si>
    <t>12.98</t>
    <phoneticPr fontId="1"/>
  </si>
  <si>
    <t>12.987</t>
    <phoneticPr fontId="1"/>
  </si>
  <si>
    <t>123</t>
    <phoneticPr fontId="1"/>
  </si>
  <si>
    <t>123.9</t>
    <phoneticPr fontId="1"/>
  </si>
  <si>
    <t>123.98</t>
    <phoneticPr fontId="1"/>
  </si>
  <si>
    <t>123.987</t>
    <phoneticPr fontId="1"/>
  </si>
  <si>
    <t>87</t>
  </si>
  <si>
    <t>87.0</t>
  </si>
  <si>
    <t>87.01</t>
  </si>
  <si>
    <t>87.012</t>
  </si>
  <si>
    <t>876</t>
  </si>
  <si>
    <t>876.0</t>
  </si>
  <si>
    <t>876.01</t>
  </si>
  <si>
    <t>876.012</t>
  </si>
  <si>
    <t>符号判定</t>
    <rPh sb="0" eb="2">
      <t>フゴウ</t>
    </rPh>
    <rPh sb="2" eb="4">
      <t>ハンテイ</t>
    </rPh>
    <phoneticPr fontId="1"/>
  </si>
  <si>
    <t>(+)</t>
    <phoneticPr fontId="1"/>
  </si>
  <si>
    <t>(-)</t>
    <phoneticPr fontId="1"/>
  </si>
  <si>
    <t>4</t>
    <phoneticPr fontId="1"/>
  </si>
  <si>
    <t>-4</t>
    <phoneticPr fontId="1"/>
  </si>
  <si>
    <t>-5</t>
  </si>
  <si>
    <t>addBaseNNumber</t>
  </si>
  <si>
    <t>checkBaseNNumberでエラー</t>
  </si>
  <si>
    <t>checkBaseNNumber</t>
  </si>
  <si>
    <t>convRadixOfInt</t>
  </si>
  <si>
    <t>convRadixOfFrc</t>
  </si>
  <si>
    <t>convRadix</t>
  </si>
  <si>
    <t>divideBaseNNumber</t>
  </si>
  <si>
    <t>multipleBaseNNumber</t>
  </si>
  <si>
    <t>0000000000000000000000000000000</t>
  </si>
  <si>
    <t>0000000000</t>
  </si>
  <si>
    <t>00000000</t>
  </si>
  <si>
    <t>00000000000000000000000000000000000</t>
  </si>
  <si>
    <t>00000000000000</t>
  </si>
  <si>
    <t>000000000000</t>
  </si>
  <si>
    <t>000</t>
  </si>
  <si>
    <t>009</t>
  </si>
  <si>
    <t>00F</t>
  </si>
  <si>
    <t>0000</t>
  </si>
  <si>
    <t>0009</t>
  </si>
  <si>
    <t>000F</t>
  </si>
  <si>
    <t>00000</t>
  </si>
  <si>
    <t>00009</t>
  </si>
  <si>
    <t>0000F</t>
  </si>
  <si>
    <t>00000000000000000000000000000000000000000000000000000000000000000000000000000000000000000000000000000000000000000000000000000000000000000000000000000000000000000000000000000000000000000000000000000000000000000000000000000000000000000000000000000000000000001</t>
  </si>
  <si>
    <t>000000000000000000000000000000000000000000000000000000000000000000000000000000000000000000000000000000000000000000000000000000000000000000000000000000000000000000000000000000000000000000000000000000000000000000000000000000000000000000000000000000000000000010</t>
  </si>
  <si>
    <t>0000000000000000000000000000000000000000000000000000000000000000000000000000000000000000000000000000000000000000000000000000000000000000000000000000000000000000000000000000000000000000000000000000000000000000000000000000000000000000000000000000000000000001</t>
  </si>
  <si>
    <t>0000000000000000000000000000000000000000000000000000000000000000000000000000000000000000000000000000000000000000000000000000000000000000000000000000000000000000000000000000000000000000000000000000000000000000000000000000000000000000000000000000000000000005</t>
  </si>
  <si>
    <t>(-1)桁</t>
    <rPh sb="4" eb="5">
      <t>ケタ</t>
    </rPh>
    <phoneticPr fontId="1"/>
  </si>
  <si>
    <t>(-x)桁は被除数の桁数</t>
    <rPh sb="4" eb="5">
      <t>ケタ</t>
    </rPh>
    <rPh sb="6" eb="9">
      <t>ヒジョスウ</t>
    </rPh>
    <rPh sb="10" eb="12">
      <t>ケタスウ</t>
    </rPh>
    <phoneticPr fontId="1"/>
  </si>
  <si>
    <t>(-x)桁は被除数の桁数より大きい</t>
    <rPh sb="4" eb="5">
      <t>ケタ</t>
    </rPh>
    <rPh sb="6" eb="9">
      <t>ヒジョスウ</t>
    </rPh>
    <rPh sb="10" eb="12">
      <t>ケタスウ</t>
    </rPh>
    <rPh sb="14" eb="15">
      <t>オオ</t>
    </rPh>
    <phoneticPr fontId="1"/>
  </si>
  <si>
    <t>(-2)桁</t>
    <rPh sb="4" eb="5">
      <t>ケタ</t>
    </rPh>
    <phoneticPr fontId="1"/>
  </si>
  <si>
    <t>100</t>
    <phoneticPr fontId="1"/>
  </si>
  <si>
    <t>033</t>
  </si>
  <si>
    <t>030</t>
  </si>
  <si>
    <t>000</t>
    <phoneticPr fontId="1"/>
  </si>
  <si>
    <t>3</t>
    <phoneticPr fontId="1"/>
  </si>
  <si>
    <t>500</t>
  </si>
  <si>
    <t>剰余の桁数</t>
    <rPh sb="0" eb="2">
      <t>ジョウヨ</t>
    </rPh>
    <rPh sb="3" eb="5">
      <t>ケタスウ</t>
    </rPh>
    <phoneticPr fontId="1"/>
  </si>
  <si>
    <t>11</t>
    <phoneticPr fontId="1"/>
  </si>
  <si>
    <t>B</t>
    <phoneticPr fontId="1"/>
  </si>
  <si>
    <t>017</t>
  </si>
  <si>
    <t>003</t>
  </si>
  <si>
    <t>1000</t>
    <phoneticPr fontId="1"/>
  </si>
  <si>
    <t>101</t>
    <phoneticPr fontId="1"/>
  </si>
  <si>
    <t>25</t>
  </si>
  <si>
    <t>25</t>
    <phoneticPr fontId="1"/>
  </si>
  <si>
    <t>124</t>
  </si>
  <si>
    <t>124</t>
    <phoneticPr fontId="1"/>
  </si>
  <si>
    <t>FE</t>
  </si>
  <si>
    <t>FE</t>
    <phoneticPr fontId="1"/>
  </si>
  <si>
    <t>10DD</t>
  </si>
  <si>
    <t>10DD</t>
    <phoneticPr fontId="1"/>
  </si>
  <si>
    <t>0011</t>
  </si>
  <si>
    <t>004</t>
  </si>
  <si>
    <t>024</t>
  </si>
  <si>
    <t>00FD</t>
  </si>
  <si>
    <t>2桁 &amp; 被除数を1桁残して中断</t>
    <rPh sb="1" eb="2">
      <t>ケタ</t>
    </rPh>
    <rPh sb="5" eb="8">
      <t>ヒジョスウ</t>
    </rPh>
    <rPh sb="10" eb="11">
      <t>ケタ</t>
    </rPh>
    <rPh sb="11" eb="12">
      <t>ノコ</t>
    </rPh>
    <rPh sb="14" eb="16">
      <t>チュウダン</t>
    </rPh>
    <phoneticPr fontId="1"/>
  </si>
  <si>
    <t>10000</t>
    <phoneticPr fontId="1"/>
  </si>
  <si>
    <t>1240</t>
    <phoneticPr fontId="1"/>
  </si>
  <si>
    <t>10DD0</t>
    <phoneticPr fontId="1"/>
  </si>
  <si>
    <t>00010</t>
  </si>
  <si>
    <t>00110</t>
  </si>
  <si>
    <t>0040</t>
  </si>
  <si>
    <t>0240</t>
  </si>
  <si>
    <t>00FD0</t>
  </si>
  <si>
    <t>2桁 &amp; 小数点x桁で中断</t>
    <rPh sb="1" eb="2">
      <t>ケタ</t>
    </rPh>
    <rPh sb="5" eb="8">
      <t>ショウスウテン</t>
    </rPh>
    <rPh sb="9" eb="10">
      <t>ケタ</t>
    </rPh>
    <rPh sb="11" eb="13">
      <t>チュウダン</t>
    </rPh>
    <phoneticPr fontId="1"/>
  </si>
  <si>
    <t>0049</t>
  </si>
  <si>
    <t>0015</t>
  </si>
  <si>
    <t>000110</t>
  </si>
  <si>
    <t>000010</t>
  </si>
  <si>
    <t>0010F</t>
  </si>
  <si>
    <t>000EE</t>
  </si>
  <si>
    <t>整数/整数</t>
    <rPh sb="0" eb="2">
      <t>セイスウ</t>
    </rPh>
    <rPh sb="3" eb="5">
      <t>セイスウ</t>
    </rPh>
    <phoneticPr fontId="1"/>
  </si>
  <si>
    <t>整数/少数(1桁)</t>
    <rPh sb="3" eb="5">
      <t>ショウスウ</t>
    </rPh>
    <rPh sb="7" eb="8">
      <t>ケタ</t>
    </rPh>
    <phoneticPr fontId="1"/>
  </si>
  <si>
    <t>整数/少数(2桁)</t>
    <rPh sb="3" eb="5">
      <t>ショウスウ</t>
    </rPh>
    <rPh sb="7" eb="8">
      <t>ケタ</t>
    </rPh>
    <phoneticPr fontId="1"/>
  </si>
  <si>
    <t>小数/整数</t>
    <rPh sb="0" eb="2">
      <t>ショウスウ</t>
    </rPh>
    <rPh sb="3" eb="5">
      <t>セイスウ</t>
    </rPh>
    <phoneticPr fontId="1"/>
  </si>
  <si>
    <t>13</t>
  </si>
  <si>
    <t>13.7</t>
  </si>
  <si>
    <t>13.74</t>
  </si>
  <si>
    <t>13.744666666666666666666666666666666666666666666666666666666666666666666666666666666666666666666666666666666666666666666666666666666666666666666666666666666666666666666666666666666666666666666666666666666666666666666666666666666666666666666666666666666666666</t>
  </si>
  <si>
    <t>13.6</t>
  </si>
  <si>
    <t>13.66</t>
  </si>
  <si>
    <t>13.666666666666666666666666666666666666666666666666666666666666666666666666666666666666666666666666666666666666666666666666666666666666666666666666666666666666666666666666666666666666666666666666666666666666666666666666666666666666666666666666666666666666666</t>
  </si>
  <si>
    <t>130</t>
  </si>
  <si>
    <t>136</t>
  </si>
  <si>
    <t>136.6</t>
  </si>
  <si>
    <t>136.66</t>
  </si>
  <si>
    <t>136.666666666666666666666666666666666666666666666666666666666666666666666666666666666666666666666666666666666666666666666666666666666666666666666666666666666666666666666666666666666666666666666666666666666666666666666666666666666666666666666666666666666666666</t>
  </si>
  <si>
    <t>120</t>
  </si>
  <si>
    <t>124.2</t>
  </si>
  <si>
    <t>124.24</t>
  </si>
  <si>
    <t>124.242424242424242424242424242424242424242424242424242424242424242424242424242424242424242424242424242424242424242424242424242424242424242424242424242424242424242424242424242424242424242424242424242424242424242424242424242424242424242424242424242424242424242</t>
  </si>
  <si>
    <t>小数/小数(1桁)</t>
    <rPh sb="0" eb="2">
      <t>ショウスウ</t>
    </rPh>
    <rPh sb="3" eb="5">
      <t>ショウスウ</t>
    </rPh>
    <rPh sb="7" eb="8">
      <t>ケタ</t>
    </rPh>
    <phoneticPr fontId="1"/>
  </si>
  <si>
    <t>137</t>
  </si>
  <si>
    <t>137.4</t>
  </si>
  <si>
    <t>137.44</t>
  </si>
  <si>
    <t>137.446666666666666666666666666666666666666666666666666666666666666666666666666666666666666666666666666666666666666666666666666666666666666666666666666666666666666666666666666666666666666666666666666666666666666666666666666666666666666666666666666666666666666</t>
  </si>
  <si>
    <t>小数/小数(2桁)</t>
    <rPh sb="0" eb="2">
      <t>ショウスウ</t>
    </rPh>
    <rPh sb="3" eb="5">
      <t>ショウスウ</t>
    </rPh>
    <rPh sb="7" eb="8">
      <t>ケタ</t>
    </rPh>
    <phoneticPr fontId="1"/>
  </si>
  <si>
    <t>124.9</t>
  </si>
  <si>
    <t>124.95</t>
  </si>
  <si>
    <t>124.951515151515151515151515151515151515151515151515151515151515151515151515151515151515151515151515151515151515151515151515151515151515151515151515151515151515151515151515151515151515151515151515151515151515151515151515151515151515151515151515151515151515151</t>
  </si>
  <si>
    <t>41</t>
  </si>
  <si>
    <t>0.02</t>
  </si>
  <si>
    <t>0.000000000000000000000000000000000000000000000000000000000000000000000000000000000000000000000000000000000000000000000000000000000000000000000000000000000000000000000000000000000000000000000000000000000000000000000000000000000000000000000000000000000000002</t>
  </si>
  <si>
    <t>除算</t>
    <rPh sb="0" eb="2">
      <t>ジョザン</t>
    </rPh>
    <phoneticPr fontId="1"/>
  </si>
  <si>
    <t>0.0000000000000000000000000000000000000000000000000000000000000000000000000000000000000000000000000000000000000000000000000000000000000000000000000000000000000000000000000000000000000000000000000000000000000000000000000000000000000000000000000000000000000002</t>
  </si>
  <si>
    <t>1.4</t>
  </si>
  <si>
    <t>0.014</t>
  </si>
  <si>
    <t>0.00000000000000000000000000000000000000000000000000000000000000000000000000000000000000000000000000000000000000000000000000000000000000000000000000000000000000000000000000000000000000000000000000000000000000000000000000000000000000000000000000000000000000014</t>
  </si>
  <si>
    <t>0.0008</t>
  </si>
  <si>
    <t>11.234</t>
  </si>
  <si>
    <t>2.234</t>
  </si>
  <si>
    <t>0.134</t>
  </si>
  <si>
    <t>1.634</t>
  </si>
  <si>
    <t>0.314</t>
  </si>
  <si>
    <t>0.017</t>
  </si>
  <si>
    <t>0.0005</t>
  </si>
  <si>
    <t>0.00000000000000000000000000000000000000000000000000000000000000000000000000000000000000000000000000000000000000000000000000000000000000000000000000000000000000000000000000000000000000000000000000000000000000000000000000000000000000000000000000000000000000017</t>
  </si>
  <si>
    <t>除算停止時に商の最後が0</t>
    <rPh sb="0" eb="2">
      <t>ジョザン</t>
    </rPh>
    <rPh sb="2" eb="4">
      <t>テイシ</t>
    </rPh>
    <rPh sb="4" eb="5">
      <t>ジ</t>
    </rPh>
    <rPh sb="6" eb="7">
      <t>ショウ</t>
    </rPh>
    <rPh sb="8" eb="10">
      <t>サイゴ</t>
    </rPh>
    <phoneticPr fontId="1"/>
  </si>
  <si>
    <t>0.030</t>
  </si>
  <si>
    <t>0.010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</si>
</sst>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3" x14ac:knownFonts="1">
    <font>
      <sz val="9"/>
      <color theme="1"/>
      <name val="ＭＳ ゴシック"/>
      <family val="2"/>
      <charset val="128"/>
    </font>
    <font>
      <sz val="6"/>
      <name val="ＭＳ ゴシック"/>
      <family val="2"/>
      <charset val="128"/>
    </font>
    <font>
      <b/>
      <sz val="9"/>
      <color theme="1"/>
      <name val="ＭＳ ゴシック"/>
      <family val="3"/>
      <charset val="128"/>
    </font>
  </fonts>
  <fills count="2">
    <fill>
      <patternFill patternType="none"/>
    </fill>
    <fill>
      <patternFill patternType="gray125"/>
    </fill>
  </fills>
  <borders count="10">
    <border>
      <left/>
      <right/>
      <top/>
      <bottom/>
      <diagonal/>
    </border>
    <border>
      <left style="thin">
        <color auto="1"/>
      </left>
      <right/>
      <top/>
      <bottom/>
      <diagonal/>
    </border>
    <border>
      <left/>
      <right/>
      <top style="thin">
        <color auto="1"/>
      </top>
      <bottom/>
      <diagonal/>
    </border>
    <border>
      <left style="thin">
        <color auto="1"/>
      </left>
      <right/>
      <top style="thin">
        <color auto="1"/>
      </top>
      <bottom/>
      <diagonal/>
    </border>
    <border>
      <left/>
      <right style="thin">
        <color auto="1"/>
      </right>
      <top/>
      <bottom/>
      <diagonal/>
    </border>
    <border>
      <left/>
      <right style="thin">
        <color auto="1"/>
      </right>
      <top style="thin">
        <color auto="1"/>
      </top>
      <bottom/>
      <diagonal/>
    </border>
    <border>
      <left style="thin">
        <color auto="1"/>
      </left>
      <right/>
      <top/>
      <bottom style="thin">
        <color auto="1"/>
      </bottom>
      <diagonal/>
    </border>
    <border>
      <left/>
      <right/>
      <top/>
      <bottom style="thin">
        <color auto="1"/>
      </bottom>
      <diagonal/>
    </border>
    <border>
      <left/>
      <right/>
      <top style="thin">
        <color auto="1"/>
      </top>
      <bottom style="thin">
        <color auto="1"/>
      </bottom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</borders>
  <cellStyleXfs count="1">
    <xf numFmtId="0" fontId="0" fillId="0" borderId="0">
      <alignment vertical="center"/>
    </xf>
  </cellStyleXfs>
  <cellXfs count="40">
    <xf numFmtId="0" fontId="0" fillId="0" borderId="0" xfId="0">
      <alignment vertical="center"/>
    </xf>
    <xf numFmtId="0" fontId="0" fillId="0" borderId="1" xfId="0" applyBorder="1">
      <alignment vertical="center"/>
    </xf>
    <xf numFmtId="0" fontId="0" fillId="0" borderId="2" xfId="0" applyBorder="1">
      <alignment vertical="center"/>
    </xf>
    <xf numFmtId="0" fontId="0" fillId="0" borderId="3" xfId="0" applyBorder="1">
      <alignment vertical="center"/>
    </xf>
    <xf numFmtId="0" fontId="0" fillId="0" borderId="0" xfId="0" applyAlignment="1">
      <alignment horizontal="right" vertical="center"/>
    </xf>
    <xf numFmtId="0" fontId="2" fillId="0" borderId="0" xfId="0" applyFont="1" applyAlignment="1">
      <alignment horizontal="center" vertical="center"/>
    </xf>
    <xf numFmtId="0" fontId="0" fillId="0" borderId="0" xfId="0" applyBorder="1">
      <alignment vertical="center"/>
    </xf>
    <xf numFmtId="0" fontId="0" fillId="0" borderId="0" xfId="0" applyFill="1" applyBorder="1">
      <alignment vertical="center"/>
    </xf>
    <xf numFmtId="0" fontId="0" fillId="0" borderId="1" xfId="0" applyBorder="1" applyAlignment="1">
      <alignment horizontal="right" vertical="center"/>
    </xf>
    <xf numFmtId="49" fontId="0" fillId="0" borderId="1" xfId="0" applyNumberFormat="1" applyBorder="1" applyAlignment="1">
      <alignment horizontal="right" vertical="center"/>
    </xf>
    <xf numFmtId="49" fontId="0" fillId="0" borderId="3" xfId="0" applyNumberFormat="1" applyBorder="1">
      <alignment vertical="center"/>
    </xf>
    <xf numFmtId="49" fontId="0" fillId="0" borderId="3" xfId="0" applyNumberFormat="1" applyBorder="1" applyAlignment="1">
      <alignment horizontal="right" vertical="center"/>
    </xf>
    <xf numFmtId="49" fontId="0" fillId="0" borderId="1" xfId="0" applyNumberFormat="1" applyBorder="1">
      <alignment vertical="center"/>
    </xf>
    <xf numFmtId="49" fontId="0" fillId="0" borderId="2" xfId="0" applyNumberFormat="1" applyBorder="1" applyAlignment="1">
      <alignment horizontal="right" vertical="center"/>
    </xf>
    <xf numFmtId="49" fontId="0" fillId="0" borderId="0" xfId="0" applyNumberFormat="1" applyBorder="1" applyAlignment="1">
      <alignment horizontal="right" vertical="center"/>
    </xf>
    <xf numFmtId="0" fontId="0" fillId="0" borderId="4" xfId="0" applyBorder="1">
      <alignment vertical="center"/>
    </xf>
    <xf numFmtId="0" fontId="0" fillId="0" borderId="5" xfId="0" applyBorder="1">
      <alignment vertical="center"/>
    </xf>
    <xf numFmtId="49" fontId="0" fillId="0" borderId="0" xfId="0" applyNumberFormat="1" applyAlignment="1">
      <alignment horizontal="right" vertical="center"/>
    </xf>
    <xf numFmtId="49" fontId="0" fillId="0" borderId="6" xfId="0" applyNumberFormat="1" applyBorder="1" applyAlignment="1">
      <alignment horizontal="right" vertical="center"/>
    </xf>
    <xf numFmtId="49" fontId="0" fillId="0" borderId="7" xfId="0" applyNumberFormat="1" applyBorder="1" applyAlignment="1">
      <alignment horizontal="right" vertical="center"/>
    </xf>
    <xf numFmtId="49" fontId="0" fillId="0" borderId="3" xfId="0" applyNumberFormat="1" applyBorder="1" applyAlignment="1">
      <alignment horizontal="left" vertical="center"/>
    </xf>
    <xf numFmtId="49" fontId="0" fillId="0" borderId="1" xfId="0" applyNumberFormat="1" applyBorder="1" applyAlignment="1">
      <alignment horizontal="left" vertical="center"/>
    </xf>
    <xf numFmtId="0" fontId="0" fillId="0" borderId="2" xfId="0" applyBorder="1" applyAlignment="1">
      <alignment horizontal="left" vertical="center"/>
    </xf>
    <xf numFmtId="0" fontId="0" fillId="0" borderId="0" xfId="0" applyAlignment="1">
      <alignment horizontal="left" vertical="center"/>
    </xf>
    <xf numFmtId="0" fontId="0" fillId="0" borderId="2" xfId="0" applyFill="1" applyBorder="1">
      <alignment vertical="center"/>
    </xf>
    <xf numFmtId="49" fontId="0" fillId="0" borderId="2" xfId="0" applyNumberFormat="1" applyBorder="1" applyAlignment="1">
      <alignment horizontal="left" vertical="center"/>
    </xf>
    <xf numFmtId="49" fontId="0" fillId="0" borderId="0" xfId="0" applyNumberFormat="1" applyAlignment="1">
      <alignment horizontal="left" vertical="center"/>
    </xf>
    <xf numFmtId="0" fontId="0" fillId="0" borderId="0" xfId="0" applyBorder="1" applyAlignment="1">
      <alignment horizontal="left" vertical="center"/>
    </xf>
    <xf numFmtId="0" fontId="0" fillId="0" borderId="8" xfId="0" applyBorder="1">
      <alignment vertical="center"/>
    </xf>
    <xf numFmtId="49" fontId="0" fillId="0" borderId="9" xfId="0" applyNumberFormat="1" applyBorder="1" applyAlignment="1">
      <alignment horizontal="right" vertical="center"/>
    </xf>
    <xf numFmtId="49" fontId="0" fillId="0" borderId="8" xfId="0" applyNumberFormat="1" applyBorder="1" applyAlignment="1">
      <alignment horizontal="right" vertical="center"/>
    </xf>
    <xf numFmtId="0" fontId="0" fillId="0" borderId="8" xfId="0" applyFill="1" applyBorder="1">
      <alignment vertical="center"/>
    </xf>
    <xf numFmtId="0" fontId="0" fillId="0" borderId="9" xfId="0" applyBorder="1">
      <alignment vertical="center"/>
    </xf>
    <xf numFmtId="0" fontId="0" fillId="0" borderId="5" xfId="0" applyFill="1" applyBorder="1">
      <alignment vertical="center"/>
    </xf>
    <xf numFmtId="0" fontId="0" fillId="0" borderId="0" xfId="0" applyFill="1" applyBorder="1" applyAlignment="1">
      <alignment horizontal="left" vertical="center"/>
    </xf>
    <xf numFmtId="0" fontId="0" fillId="0" borderId="7" xfId="0" applyBorder="1">
      <alignment vertical="center"/>
    </xf>
    <xf numFmtId="0" fontId="0" fillId="0" borderId="6" xfId="0" applyBorder="1">
      <alignment vertical="center"/>
    </xf>
    <xf numFmtId="0" fontId="0" fillId="0" borderId="0" xfId="0" applyFill="1" applyBorder="1" applyAlignment="1">
      <alignment horizontal="right" vertical="center"/>
    </xf>
    <xf numFmtId="0" fontId="0" fillId="0" borderId="2" xfId="0" applyFill="1" applyBorder="1" applyAlignment="1">
      <alignment horizontal="right" vertical="center"/>
    </xf>
    <xf numFmtId="0" fontId="0" fillId="0" borderId="3" xfId="0" applyBorder="1" applyAlignment="1">
      <alignment horizontal="right" vertical="center"/>
    </xf>
  </cellXfs>
  <cellStyles count="1">
    <cellStyle name="標準" xfId="0" builtinId="0"/>
  </cellStyles>
  <dxfs count="32">
    <dxf>
      <fill>
        <patternFill>
          <bgColor rgb="FFFFC7CE"/>
        </patternFill>
      </fill>
    </dxf>
    <dxf>
      <fill>
        <patternFill>
          <bgColor rgb="FFFFC7CE"/>
        </patternFill>
      </fill>
    </dxf>
    <dxf>
      <fill>
        <patternFill>
          <bgColor rgb="FFFFC7CE"/>
        </patternFill>
      </fill>
    </dxf>
    <dxf>
      <fill>
        <patternFill>
          <bgColor rgb="FFFFC7CE"/>
        </patternFill>
      </fill>
    </dxf>
    <dxf>
      <fill>
        <patternFill>
          <bgColor rgb="FFFFC7CE"/>
        </patternFill>
      </fill>
    </dxf>
    <dxf>
      <fill>
        <patternFill>
          <bgColor rgb="FFFFC7CE"/>
        </patternFill>
      </fill>
    </dxf>
    <dxf>
      <fill>
        <patternFill>
          <bgColor rgb="FFFFC7CE"/>
        </patternFill>
      </fill>
    </dxf>
    <dxf>
      <fill>
        <patternFill>
          <bgColor rgb="FFFFC7CE"/>
        </patternFill>
      </fill>
    </dxf>
    <dxf>
      <fill>
        <patternFill>
          <bgColor rgb="FFFFC7CE"/>
        </patternFill>
      </fill>
    </dxf>
    <dxf>
      <fill>
        <patternFill>
          <bgColor rgb="FFFFC7CE"/>
        </patternFill>
      </fill>
    </dxf>
    <dxf>
      <fill>
        <patternFill>
          <bgColor rgb="FFFFC7CE"/>
        </patternFill>
      </fill>
    </dxf>
    <dxf>
      <fill>
        <patternFill>
          <bgColor rgb="FFFFC7CE"/>
        </patternFill>
      </fill>
    </dxf>
    <dxf>
      <fill>
        <patternFill>
          <bgColor rgb="FFFFC7CE"/>
        </patternFill>
      </fill>
    </dxf>
    <dxf>
      <fill>
        <patternFill>
          <bgColor rgb="FFFFC7CE"/>
        </patternFill>
      </fill>
    </dxf>
    <dxf>
      <fill>
        <patternFill>
          <bgColor rgb="FFFFC7CE"/>
        </patternFill>
      </fill>
    </dxf>
    <dxf>
      <fill>
        <patternFill>
          <bgColor rgb="FFFFC7CE"/>
        </patternFill>
      </fill>
    </dxf>
    <dxf>
      <fill>
        <patternFill>
          <bgColor rgb="FFFFC7CE"/>
        </patternFill>
      </fill>
    </dxf>
    <dxf>
      <fill>
        <patternFill>
          <bgColor rgb="FFFFC7CE"/>
        </patternFill>
      </fill>
    </dxf>
    <dxf>
      <fill>
        <patternFill>
          <bgColor rgb="FFFFC7CE"/>
        </patternFill>
      </fill>
    </dxf>
    <dxf>
      <fill>
        <patternFill>
          <bgColor rgb="FFFFC7CE"/>
        </patternFill>
      </fill>
    </dxf>
    <dxf>
      <fill>
        <patternFill>
          <bgColor rgb="FFFFC7CE"/>
        </patternFill>
      </fill>
    </dxf>
    <dxf>
      <fill>
        <patternFill>
          <bgColor rgb="FFFFC7CE"/>
        </patternFill>
      </fill>
    </dxf>
    <dxf>
      <fill>
        <patternFill>
          <bgColor rgb="FFFFC7CE"/>
        </patternFill>
      </fill>
    </dxf>
    <dxf>
      <fill>
        <patternFill>
          <bgColor rgb="FFFFC7CE"/>
        </patternFill>
      </fill>
    </dxf>
    <dxf>
      <fill>
        <patternFill>
          <bgColor rgb="FFFFC7CE"/>
        </patternFill>
      </fill>
    </dxf>
    <dxf>
      <fill>
        <patternFill>
          <bgColor rgb="FFFFC7CE"/>
        </patternFill>
      </fill>
    </dxf>
    <dxf>
      <fill>
        <patternFill>
          <bgColor rgb="FFFFC7CE"/>
        </patternFill>
      </fill>
    </dxf>
    <dxf>
      <fill>
        <patternFill>
          <bgColor rgb="FFFFC7CE"/>
        </patternFill>
      </fill>
    </dxf>
    <dxf>
      <fill>
        <patternFill>
          <bgColor rgb="FFFFC7CE"/>
        </patternFill>
      </fill>
    </dxf>
    <dxf>
      <fill>
        <patternFill>
          <bgColor rgb="FFFFC7CE"/>
        </patternFill>
      </fill>
    </dxf>
    <dxf>
      <fill>
        <patternFill>
          <bgColor rgb="FF00B0F0"/>
        </patternFill>
      </fill>
    </dxf>
    <dxf>
      <font>
        <color rgb="FF9C0006"/>
      </font>
      <fill>
        <patternFill>
          <bgColor rgb="FFFFC7CE"/>
        </patternFill>
      </fill>
    </dxf>
  </dxfs>
  <tableStyles count="0" defaultTableStyle="TableStyleMedium2" defaultPivotStyle="PivotStyleLight16"/>
  <colors>
    <mruColors>
      <color rgb="FFFFC7CE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T725"/>
  <sheetViews>
    <sheetView tabSelected="1" zoomScale="85" zoomScaleNormal="85" workbookViewId="0">
      <pane xSplit="4" ySplit="3" topLeftCell="E4" activePane="bottomRight" state="frozen"/>
      <selection pane="topRight" activeCell="E1" sqref="E1"/>
      <selection pane="bottomLeft" activeCell="A4" sqref="A4"/>
      <selection pane="bottomRight" activeCell="B100" sqref="B100"/>
    </sheetView>
  </sheetViews>
  <sheetFormatPr defaultRowHeight="11.25" x14ac:dyDescent="0.15"/>
  <cols>
    <col min="1" max="1" width="28" customWidth="1"/>
    <col min="2" max="2" width="26.1640625" bestFit="1" customWidth="1"/>
    <col min="3" max="3" width="34.33203125" bestFit="1" customWidth="1"/>
    <col min="4" max="4" width="33.1640625" bestFit="1" customWidth="1"/>
    <col min="5" max="5" width="37.83203125" style="1" bestFit="1" customWidth="1"/>
    <col min="6" max="6" width="37.5" bestFit="1" customWidth="1"/>
    <col min="9" max="9" width="40" style="1" bestFit="1" customWidth="1"/>
    <col min="10" max="10" width="9.6640625" customWidth="1"/>
    <col min="11" max="11" width="9.1640625" customWidth="1"/>
    <col min="13" max="13" width="40" style="1" bestFit="1" customWidth="1"/>
    <col min="14" max="14" width="8.1640625" customWidth="1"/>
    <col min="15" max="15" width="9.1640625" customWidth="1"/>
    <col min="17" max="17" width="7.1640625" style="1" customWidth="1"/>
    <col min="18" max="18" width="7.1640625" bestFit="1" customWidth="1"/>
    <col min="19" max="19" width="7.1640625" customWidth="1"/>
    <col min="20" max="20" width="7.1640625" bestFit="1" customWidth="1"/>
  </cols>
  <sheetData>
    <row r="1" spans="1:20" x14ac:dyDescent="0.15">
      <c r="A1" s="4" t="s">
        <v>19</v>
      </c>
      <c r="B1" s="5" t="str">
        <f>IF(COUNTIF(Q:T,FALSE)=0, "OK", "NG")</f>
        <v>OK</v>
      </c>
    </row>
    <row r="3" spans="1:20" x14ac:dyDescent="0.15">
      <c r="A3" t="s">
        <v>2</v>
      </c>
      <c r="B3" t="s">
        <v>194</v>
      </c>
      <c r="E3" s="1" t="s">
        <v>0</v>
      </c>
      <c r="I3" s="1" t="s">
        <v>1</v>
      </c>
      <c r="M3" s="1" t="s">
        <v>12</v>
      </c>
      <c r="Q3" s="1" t="s">
        <v>13</v>
      </c>
    </row>
    <row r="4" spans="1:20" x14ac:dyDescent="0.15">
      <c r="A4" t="s">
        <v>898</v>
      </c>
      <c r="B4" t="s">
        <v>899</v>
      </c>
      <c r="C4" t="s">
        <v>689</v>
      </c>
      <c r="D4" t="s">
        <v>560</v>
      </c>
      <c r="F4">
        <v>1</v>
      </c>
      <c r="G4">
        <v>10</v>
      </c>
      <c r="I4" s="1" t="e">
        <f t="shared" ref="I4:I31" si="0">addBaseNNumber(E4,F4,G4)</f>
        <v>#NULL!</v>
      </c>
      <c r="M4" s="1" t="e">
        <v>#NULL!</v>
      </c>
      <c r="Q4" s="1" t="b">
        <f t="shared" ref="Q4:R67" si="1">getText(I4)=getText(M4)</f>
        <v>1</v>
      </c>
    </row>
    <row r="5" spans="1:20" x14ac:dyDescent="0.15">
      <c r="D5" t="s">
        <v>622</v>
      </c>
      <c r="E5" s="1">
        <v>1</v>
      </c>
      <c r="F5">
        <v>1</v>
      </c>
      <c r="G5">
        <v>1</v>
      </c>
      <c r="I5" s="1" t="e">
        <f t="shared" si="0"/>
        <v>#NUM!</v>
      </c>
      <c r="M5" s="1" t="e">
        <v>#NUM!</v>
      </c>
      <c r="Q5" s="1" t="b">
        <f t="shared" si="1"/>
        <v>1</v>
      </c>
      <c r="R5" s="6"/>
      <c r="S5" s="6"/>
      <c r="T5" s="6"/>
    </row>
    <row r="6" spans="1:20" x14ac:dyDescent="0.15">
      <c r="C6" s="2" t="s">
        <v>690</v>
      </c>
      <c r="D6" s="2" t="s">
        <v>560</v>
      </c>
      <c r="E6" s="3">
        <v>1</v>
      </c>
      <c r="F6" s="2"/>
      <c r="G6" s="2">
        <v>10</v>
      </c>
      <c r="H6" s="2"/>
      <c r="I6" s="3" t="e">
        <f t="shared" si="0"/>
        <v>#NULL!</v>
      </c>
      <c r="J6" s="2"/>
      <c r="K6" s="2"/>
      <c r="L6" s="2"/>
      <c r="M6" s="3" t="e">
        <v>#NULL!</v>
      </c>
      <c r="N6" s="2"/>
      <c r="O6" s="2"/>
      <c r="P6" s="2"/>
      <c r="Q6" s="3" t="b">
        <f t="shared" si="1"/>
        <v>1</v>
      </c>
      <c r="R6" s="6"/>
      <c r="S6" s="6"/>
      <c r="T6" s="6"/>
    </row>
    <row r="7" spans="1:20" x14ac:dyDescent="0.15">
      <c r="D7" t="s">
        <v>622</v>
      </c>
      <c r="E7" s="1">
        <v>1</v>
      </c>
      <c r="F7">
        <v>1</v>
      </c>
      <c r="G7" s="7">
        <v>1</v>
      </c>
      <c r="I7" s="1" t="e">
        <f t="shared" si="0"/>
        <v>#NUM!</v>
      </c>
      <c r="M7" s="1" t="e">
        <v>#NUM!</v>
      </c>
      <c r="Q7" s="1" t="b">
        <f t="shared" si="1"/>
        <v>1</v>
      </c>
      <c r="R7" s="6"/>
      <c r="S7" s="6"/>
      <c r="T7" s="6"/>
    </row>
    <row r="8" spans="1:20" x14ac:dyDescent="0.15">
      <c r="B8" s="2" t="s">
        <v>691</v>
      </c>
      <c r="C8" s="2" t="s">
        <v>688</v>
      </c>
      <c r="D8" s="2" t="s">
        <v>692</v>
      </c>
      <c r="E8" s="3">
        <v>0.1</v>
      </c>
      <c r="F8" s="2">
        <v>0.3</v>
      </c>
      <c r="G8" s="24">
        <v>10</v>
      </c>
      <c r="H8" s="2"/>
      <c r="I8" s="3" t="str">
        <f t="shared" si="0"/>
        <v>0.4</v>
      </c>
      <c r="J8" s="2"/>
      <c r="K8" s="2"/>
      <c r="L8" s="2"/>
      <c r="M8" s="3" t="s">
        <v>695</v>
      </c>
      <c r="N8" s="2"/>
      <c r="O8" s="2"/>
      <c r="P8" s="2"/>
      <c r="Q8" s="3" t="b">
        <f t="shared" si="1"/>
        <v>1</v>
      </c>
    </row>
    <row r="9" spans="1:20" x14ac:dyDescent="0.15">
      <c r="D9" s="7" t="s">
        <v>693</v>
      </c>
      <c r="E9" s="1">
        <v>0.12</v>
      </c>
      <c r="F9" s="7">
        <v>0.3</v>
      </c>
      <c r="G9">
        <v>10</v>
      </c>
      <c r="I9" s="1" t="str">
        <f t="shared" si="0"/>
        <v>0.42</v>
      </c>
      <c r="M9" s="1" t="s">
        <v>696</v>
      </c>
      <c r="Q9" s="1" t="b">
        <f t="shared" si="1"/>
        <v>1</v>
      </c>
    </row>
    <row r="10" spans="1:20" x14ac:dyDescent="0.15">
      <c r="D10" s="7" t="s">
        <v>694</v>
      </c>
      <c r="E10" s="1">
        <v>0.123</v>
      </c>
      <c r="F10" s="7">
        <v>0.4</v>
      </c>
      <c r="G10">
        <v>10</v>
      </c>
      <c r="I10" s="1" t="str">
        <f t="shared" si="0"/>
        <v>0.523</v>
      </c>
      <c r="M10" s="1" t="s">
        <v>697</v>
      </c>
      <c r="Q10" s="1" t="b">
        <f t="shared" si="1"/>
        <v>1</v>
      </c>
    </row>
    <row r="11" spans="1:20" x14ac:dyDescent="0.15">
      <c r="C11" s="2" t="s">
        <v>690</v>
      </c>
      <c r="D11" s="2" t="s">
        <v>692</v>
      </c>
      <c r="E11" s="3">
        <v>0.3</v>
      </c>
      <c r="F11" s="2">
        <v>0.1</v>
      </c>
      <c r="G11" s="2">
        <v>10</v>
      </c>
      <c r="H11" s="2"/>
      <c r="I11" s="3" t="str">
        <f t="shared" si="0"/>
        <v>0.4</v>
      </c>
      <c r="J11" s="2"/>
      <c r="K11" s="2"/>
      <c r="L11" s="2"/>
      <c r="M11" s="3" t="s">
        <v>695</v>
      </c>
      <c r="N11" s="2"/>
      <c r="O11" s="2"/>
      <c r="P11" s="2"/>
      <c r="Q11" s="3" t="b">
        <f t="shared" si="1"/>
        <v>1</v>
      </c>
    </row>
    <row r="12" spans="1:20" x14ac:dyDescent="0.15">
      <c r="D12" s="7" t="s">
        <v>693</v>
      </c>
      <c r="E12" s="1">
        <v>0.3</v>
      </c>
      <c r="F12">
        <v>0.12</v>
      </c>
      <c r="G12">
        <v>10</v>
      </c>
      <c r="I12" s="1" t="str">
        <f t="shared" si="0"/>
        <v>0.42</v>
      </c>
      <c r="M12" s="1" t="s">
        <v>696</v>
      </c>
      <c r="Q12" s="1" t="b">
        <f t="shared" si="1"/>
        <v>1</v>
      </c>
    </row>
    <row r="13" spans="1:20" x14ac:dyDescent="0.15">
      <c r="D13" s="7" t="s">
        <v>694</v>
      </c>
      <c r="E13" s="1">
        <v>0.4</v>
      </c>
      <c r="F13">
        <v>0.123</v>
      </c>
      <c r="G13">
        <v>10</v>
      </c>
      <c r="I13" s="1" t="str">
        <f t="shared" si="0"/>
        <v>0.523</v>
      </c>
      <c r="M13" s="1" t="s">
        <v>697</v>
      </c>
      <c r="Q13" s="1" t="b">
        <f t="shared" si="1"/>
        <v>1</v>
      </c>
    </row>
    <row r="14" spans="1:20" x14ac:dyDescent="0.15">
      <c r="B14" s="2" t="s">
        <v>716</v>
      </c>
      <c r="C14" s="2" t="s">
        <v>698</v>
      </c>
      <c r="D14" s="2"/>
      <c r="E14" s="3">
        <v>-5</v>
      </c>
      <c r="F14" s="2">
        <v>-5</v>
      </c>
      <c r="G14" s="2">
        <v>10</v>
      </c>
      <c r="H14" s="2"/>
      <c r="I14" s="3" t="str">
        <f t="shared" si="0"/>
        <v>-10</v>
      </c>
      <c r="J14" s="2"/>
      <c r="K14" s="2"/>
      <c r="L14" s="2"/>
      <c r="M14" s="3" t="s">
        <v>703</v>
      </c>
      <c r="N14" s="2"/>
      <c r="O14" s="2"/>
      <c r="P14" s="2"/>
      <c r="Q14" s="3" t="b">
        <f t="shared" si="1"/>
        <v>1</v>
      </c>
    </row>
    <row r="15" spans="1:20" x14ac:dyDescent="0.15">
      <c r="C15" s="2" t="s">
        <v>699</v>
      </c>
      <c r="D15" s="2" t="s">
        <v>700</v>
      </c>
      <c r="E15" s="3">
        <v>-8</v>
      </c>
      <c r="F15" s="2">
        <v>9</v>
      </c>
      <c r="G15" s="2">
        <v>10</v>
      </c>
      <c r="H15" s="2"/>
      <c r="I15" s="3" t="str">
        <f t="shared" si="0"/>
        <v>1</v>
      </c>
      <c r="J15" s="2"/>
      <c r="K15" s="2"/>
      <c r="L15" s="2"/>
      <c r="M15" s="3" t="s">
        <v>44</v>
      </c>
      <c r="N15" s="2"/>
      <c r="O15" s="2"/>
      <c r="P15" s="2"/>
      <c r="Q15" s="3" t="b">
        <f t="shared" si="1"/>
        <v>1</v>
      </c>
    </row>
    <row r="16" spans="1:20" x14ac:dyDescent="0.15">
      <c r="D16" t="s">
        <v>701</v>
      </c>
      <c r="E16" s="1">
        <v>-9</v>
      </c>
      <c r="F16">
        <v>8</v>
      </c>
      <c r="G16">
        <v>10</v>
      </c>
      <c r="I16" s="1" t="str">
        <f t="shared" si="0"/>
        <v>-1</v>
      </c>
      <c r="M16" s="1" t="s">
        <v>704</v>
      </c>
      <c r="Q16" s="1" t="b">
        <f t="shared" si="1"/>
        <v>1</v>
      </c>
    </row>
    <row r="17" spans="2:17" x14ac:dyDescent="0.15">
      <c r="D17" t="s">
        <v>702</v>
      </c>
      <c r="E17" s="1">
        <v>-9</v>
      </c>
      <c r="F17">
        <v>9</v>
      </c>
      <c r="G17">
        <v>10</v>
      </c>
      <c r="I17" s="1" t="str">
        <f t="shared" si="0"/>
        <v>0</v>
      </c>
      <c r="M17" s="1" t="s">
        <v>14</v>
      </c>
      <c r="Q17" s="1" t="b">
        <f t="shared" si="1"/>
        <v>1</v>
      </c>
    </row>
    <row r="18" spans="2:17" x14ac:dyDescent="0.15">
      <c r="C18" s="2" t="s">
        <v>705</v>
      </c>
      <c r="D18" s="2" t="s">
        <v>700</v>
      </c>
      <c r="E18" s="3">
        <v>9</v>
      </c>
      <c r="F18" s="2">
        <v>-8</v>
      </c>
      <c r="G18" s="2">
        <v>10</v>
      </c>
      <c r="H18" s="2"/>
      <c r="I18" s="3" t="str">
        <f t="shared" si="0"/>
        <v>1</v>
      </c>
      <c r="J18" s="2"/>
      <c r="K18" s="2"/>
      <c r="L18" s="2"/>
      <c r="M18" s="3" t="s">
        <v>44</v>
      </c>
      <c r="N18" s="2"/>
      <c r="O18" s="2"/>
      <c r="P18" s="2"/>
      <c r="Q18" s="3" t="b">
        <f t="shared" si="1"/>
        <v>1</v>
      </c>
    </row>
    <row r="19" spans="2:17" x14ac:dyDescent="0.15">
      <c r="D19" t="s">
        <v>701</v>
      </c>
      <c r="E19" s="1">
        <v>8</v>
      </c>
      <c r="F19">
        <v>-9</v>
      </c>
      <c r="G19">
        <v>10</v>
      </c>
      <c r="I19" s="1" t="str">
        <f t="shared" si="0"/>
        <v>-1</v>
      </c>
      <c r="M19" s="1" t="s">
        <v>704</v>
      </c>
      <c r="Q19" s="1" t="b">
        <f t="shared" si="1"/>
        <v>1</v>
      </c>
    </row>
    <row r="20" spans="2:17" x14ac:dyDescent="0.15">
      <c r="D20" t="s">
        <v>702</v>
      </c>
      <c r="E20" s="1">
        <v>9</v>
      </c>
      <c r="F20">
        <v>-9</v>
      </c>
      <c r="G20">
        <v>10</v>
      </c>
      <c r="I20" s="1" t="str">
        <f t="shared" si="0"/>
        <v>0</v>
      </c>
      <c r="M20" s="1" t="s">
        <v>14</v>
      </c>
      <c r="Q20" s="1" t="b">
        <f t="shared" si="1"/>
        <v>1</v>
      </c>
    </row>
    <row r="21" spans="2:17" x14ac:dyDescent="0.15">
      <c r="C21" s="2" t="s">
        <v>706</v>
      </c>
      <c r="D21" s="2"/>
      <c r="E21" s="3">
        <v>5</v>
      </c>
      <c r="F21" s="2">
        <v>5</v>
      </c>
      <c r="G21" s="2">
        <v>10</v>
      </c>
      <c r="H21" s="2"/>
      <c r="I21" s="3" t="str">
        <f t="shared" si="0"/>
        <v>10</v>
      </c>
      <c r="J21" s="2"/>
      <c r="K21" s="2"/>
      <c r="L21" s="2"/>
      <c r="M21" s="3" t="s">
        <v>15</v>
      </c>
      <c r="N21" s="2"/>
      <c r="O21" s="2"/>
      <c r="P21" s="2"/>
      <c r="Q21" s="3" t="b">
        <f t="shared" si="1"/>
        <v>1</v>
      </c>
    </row>
    <row r="22" spans="2:17" x14ac:dyDescent="0.15">
      <c r="B22" s="2" t="s">
        <v>709</v>
      </c>
      <c r="C22" s="2" t="s">
        <v>707</v>
      </c>
      <c r="D22" s="2"/>
      <c r="E22" s="3">
        <v>0.1</v>
      </c>
      <c r="F22" s="2">
        <v>0.8</v>
      </c>
      <c r="G22" s="2">
        <v>10</v>
      </c>
      <c r="H22" s="2"/>
      <c r="I22" s="3" t="str">
        <f t="shared" si="0"/>
        <v>0.9</v>
      </c>
      <c r="J22" s="2"/>
      <c r="K22" s="2"/>
      <c r="L22" s="2"/>
      <c r="M22" s="3" t="s">
        <v>717</v>
      </c>
      <c r="N22" s="2"/>
      <c r="O22" s="2"/>
      <c r="P22" s="2"/>
      <c r="Q22" s="3" t="b">
        <f t="shared" si="1"/>
        <v>1</v>
      </c>
    </row>
    <row r="23" spans="2:17" x14ac:dyDescent="0.15">
      <c r="C23" s="7" t="s">
        <v>708</v>
      </c>
      <c r="E23" s="1">
        <v>0.01</v>
      </c>
      <c r="F23" s="7">
        <v>0.09</v>
      </c>
      <c r="G23">
        <v>10</v>
      </c>
      <c r="I23" s="1" t="str">
        <f t="shared" si="0"/>
        <v>0.1</v>
      </c>
      <c r="M23" s="1" t="s">
        <v>718</v>
      </c>
      <c r="Q23" s="1" t="b">
        <f t="shared" si="1"/>
        <v>1</v>
      </c>
    </row>
    <row r="24" spans="2:17" x14ac:dyDescent="0.15">
      <c r="C24" s="7" t="s">
        <v>710</v>
      </c>
      <c r="E24" s="1">
        <v>0.1</v>
      </c>
      <c r="F24" s="7">
        <v>0.9</v>
      </c>
      <c r="G24">
        <v>10</v>
      </c>
      <c r="I24" s="1" t="str">
        <f t="shared" si="0"/>
        <v>1</v>
      </c>
      <c r="M24" s="1" t="s">
        <v>44</v>
      </c>
      <c r="Q24" s="1" t="b">
        <f t="shared" si="1"/>
        <v>1</v>
      </c>
    </row>
    <row r="25" spans="2:17" x14ac:dyDescent="0.15">
      <c r="B25" s="2" t="s">
        <v>711</v>
      </c>
      <c r="C25" s="24" t="s">
        <v>712</v>
      </c>
      <c r="D25" s="2" t="s">
        <v>713</v>
      </c>
      <c r="E25" s="3">
        <v>0.09</v>
      </c>
      <c r="F25" s="24">
        <v>0.01</v>
      </c>
      <c r="G25" s="2">
        <v>10</v>
      </c>
      <c r="H25" s="2"/>
      <c r="I25" s="3" t="str">
        <f t="shared" si="0"/>
        <v>0.1</v>
      </c>
      <c r="J25" s="2"/>
      <c r="K25" s="2"/>
      <c r="L25" s="2"/>
      <c r="M25" s="3" t="s">
        <v>718</v>
      </c>
      <c r="N25" s="2"/>
      <c r="O25" s="2"/>
      <c r="P25" s="2"/>
      <c r="Q25" s="3" t="b">
        <f t="shared" si="1"/>
        <v>1</v>
      </c>
    </row>
    <row r="26" spans="2:17" x14ac:dyDescent="0.15">
      <c r="D26" t="s">
        <v>714</v>
      </c>
      <c r="E26" s="1">
        <v>0.99</v>
      </c>
      <c r="F26" s="7">
        <v>0.01</v>
      </c>
      <c r="G26">
        <v>10</v>
      </c>
      <c r="I26" s="1" t="str">
        <f t="shared" si="0"/>
        <v>1</v>
      </c>
      <c r="M26" s="1" t="s">
        <v>44</v>
      </c>
      <c r="Q26" s="1" t="b">
        <f t="shared" si="1"/>
        <v>1</v>
      </c>
    </row>
    <row r="27" spans="2:17" x14ac:dyDescent="0.15">
      <c r="C27" s="2" t="s">
        <v>715</v>
      </c>
      <c r="D27" s="2" t="s">
        <v>713</v>
      </c>
      <c r="E27" s="3">
        <v>10</v>
      </c>
      <c r="F27" s="24">
        <v>-9</v>
      </c>
      <c r="G27" s="2">
        <v>10</v>
      </c>
      <c r="H27" s="2"/>
      <c r="I27" s="3" t="str">
        <f t="shared" si="0"/>
        <v>1</v>
      </c>
      <c r="J27" s="2"/>
      <c r="K27" s="2"/>
      <c r="L27" s="2"/>
      <c r="M27" s="3" t="s">
        <v>44</v>
      </c>
      <c r="N27" s="2"/>
      <c r="O27" s="2"/>
      <c r="P27" s="2"/>
      <c r="Q27" s="3" t="b">
        <f t="shared" si="1"/>
        <v>1</v>
      </c>
    </row>
    <row r="28" spans="2:17" x14ac:dyDescent="0.15">
      <c r="D28" t="s">
        <v>714</v>
      </c>
      <c r="E28" s="1">
        <v>10</v>
      </c>
      <c r="F28" s="7">
        <v>-9.9</v>
      </c>
      <c r="G28">
        <v>10</v>
      </c>
      <c r="I28" s="1" t="str">
        <f t="shared" si="0"/>
        <v>0.1</v>
      </c>
      <c r="M28" s="1" t="s">
        <v>718</v>
      </c>
      <c r="Q28" s="1" t="b">
        <f t="shared" si="1"/>
        <v>1</v>
      </c>
    </row>
    <row r="29" spans="2:17" x14ac:dyDescent="0.15">
      <c r="B29" s="2" t="s">
        <v>719</v>
      </c>
      <c r="C29" s="2"/>
      <c r="D29" s="2" t="s">
        <v>722</v>
      </c>
      <c r="E29" s="3">
        <v>1</v>
      </c>
      <c r="F29" s="24">
        <v>1</v>
      </c>
      <c r="G29" s="2">
        <v>2</v>
      </c>
      <c r="H29" s="2"/>
      <c r="I29" s="3" t="str">
        <f t="shared" si="0"/>
        <v>10</v>
      </c>
      <c r="J29" s="2"/>
      <c r="K29" s="2"/>
      <c r="L29" s="2"/>
      <c r="M29" s="3" t="s">
        <v>15</v>
      </c>
      <c r="N29" s="2"/>
      <c r="O29" s="2"/>
      <c r="P29" s="2"/>
      <c r="Q29" s="3" t="b">
        <f t="shared" si="1"/>
        <v>1</v>
      </c>
    </row>
    <row r="30" spans="2:17" x14ac:dyDescent="0.15">
      <c r="D30" s="7" t="s">
        <v>723</v>
      </c>
      <c r="E30" s="1">
        <v>9</v>
      </c>
      <c r="F30" s="7">
        <v>9</v>
      </c>
      <c r="G30" s="7">
        <v>10</v>
      </c>
      <c r="I30" s="1" t="str">
        <f t="shared" si="0"/>
        <v>18</v>
      </c>
      <c r="M30" s="1" t="s">
        <v>238</v>
      </c>
      <c r="Q30" s="1" t="b">
        <f t="shared" si="1"/>
        <v>1</v>
      </c>
    </row>
    <row r="31" spans="2:17" x14ac:dyDescent="0.15">
      <c r="D31" s="7" t="s">
        <v>724</v>
      </c>
      <c r="E31" s="8" t="s">
        <v>99</v>
      </c>
      <c r="F31" s="37" t="s">
        <v>99</v>
      </c>
      <c r="G31" s="7">
        <v>16</v>
      </c>
      <c r="I31" s="1" t="str">
        <f t="shared" si="0"/>
        <v>1E</v>
      </c>
      <c r="M31" s="1" t="s">
        <v>239</v>
      </c>
      <c r="Q31" s="1" t="b">
        <f t="shared" si="1"/>
        <v>1</v>
      </c>
    </row>
    <row r="32" spans="2:17" x14ac:dyDescent="0.15">
      <c r="D32" s="7" t="s">
        <v>731</v>
      </c>
      <c r="E32" s="8">
        <v>9</v>
      </c>
      <c r="F32" s="37">
        <v>9</v>
      </c>
      <c r="G32" s="7"/>
      <c r="I32" s="1" t="str">
        <f>addBaseNNumber(E32,F32)</f>
        <v>18</v>
      </c>
      <c r="M32" s="1" t="s">
        <v>238</v>
      </c>
      <c r="Q32" s="1" t="b">
        <f t="shared" si="1"/>
        <v>1</v>
      </c>
    </row>
    <row r="33" spans="1:17" x14ac:dyDescent="0.15">
      <c r="D33" s="7" t="s">
        <v>732</v>
      </c>
      <c r="E33" s="8">
        <v>9</v>
      </c>
      <c r="F33" s="37" t="s">
        <v>733</v>
      </c>
      <c r="G33" s="7"/>
      <c r="I33" s="1" t="e">
        <f>addBaseNNumber(E33,F33)</f>
        <v>#NUM!</v>
      </c>
      <c r="M33" s="1" t="e">
        <v>#NUM!</v>
      </c>
      <c r="Q33" s="1" t="b">
        <f t="shared" si="1"/>
        <v>1</v>
      </c>
    </row>
    <row r="34" spans="1:17" x14ac:dyDescent="0.15">
      <c r="A34" s="2" t="s">
        <v>905</v>
      </c>
      <c r="B34" s="2" t="s">
        <v>899</v>
      </c>
      <c r="C34" s="2" t="s">
        <v>720</v>
      </c>
      <c r="D34" s="2" t="s">
        <v>560</v>
      </c>
      <c r="E34" s="3"/>
      <c r="F34" s="24">
        <v>1</v>
      </c>
      <c r="G34" s="2">
        <v>10</v>
      </c>
      <c r="H34" s="2"/>
      <c r="I34" s="3" t="e">
        <f t="shared" ref="I34:I57" si="2">multipleBaseNNumber(E34,F34,G34)</f>
        <v>#NULL!</v>
      </c>
      <c r="J34" s="2"/>
      <c r="K34" s="2"/>
      <c r="L34" s="2"/>
      <c r="M34" s="3" t="e">
        <v>#NULL!</v>
      </c>
      <c r="N34" s="2"/>
      <c r="O34" s="2"/>
      <c r="P34" s="2"/>
      <c r="Q34" s="3" t="b">
        <f t="shared" si="1"/>
        <v>1</v>
      </c>
    </row>
    <row r="35" spans="1:17" x14ac:dyDescent="0.15">
      <c r="D35" t="s">
        <v>622</v>
      </c>
      <c r="E35" s="1">
        <v>1</v>
      </c>
      <c r="F35" s="7">
        <v>1</v>
      </c>
      <c r="G35">
        <v>1</v>
      </c>
      <c r="I35" s="1" t="e">
        <f t="shared" si="2"/>
        <v>#NUM!</v>
      </c>
      <c r="M35" s="1" t="e">
        <v>#NUM!</v>
      </c>
      <c r="Q35" s="1" t="b">
        <f t="shared" si="1"/>
        <v>1</v>
      </c>
    </row>
    <row r="36" spans="1:17" x14ac:dyDescent="0.15">
      <c r="C36" s="2" t="s">
        <v>721</v>
      </c>
      <c r="D36" s="2" t="s">
        <v>560</v>
      </c>
      <c r="E36" s="3">
        <v>1</v>
      </c>
      <c r="F36" s="24"/>
      <c r="G36" s="2">
        <v>10</v>
      </c>
      <c r="H36" s="2"/>
      <c r="I36" s="3" t="e">
        <f t="shared" si="2"/>
        <v>#NULL!</v>
      </c>
      <c r="J36" s="2"/>
      <c r="K36" s="2"/>
      <c r="L36" s="2"/>
      <c r="M36" s="3" t="e">
        <v>#NULL!</v>
      </c>
      <c r="N36" s="2"/>
      <c r="O36" s="2"/>
      <c r="P36" s="2"/>
      <c r="Q36" s="3" t="b">
        <f t="shared" si="1"/>
        <v>1</v>
      </c>
    </row>
    <row r="37" spans="1:17" x14ac:dyDescent="0.15">
      <c r="D37" t="s">
        <v>622</v>
      </c>
      <c r="E37" s="1">
        <v>1</v>
      </c>
      <c r="F37" s="7">
        <v>1</v>
      </c>
      <c r="G37">
        <v>1</v>
      </c>
      <c r="I37" s="1" t="e">
        <f t="shared" si="2"/>
        <v>#NUM!</v>
      </c>
      <c r="M37" s="1" t="e">
        <v>#NUM!</v>
      </c>
      <c r="Q37" s="1" t="b">
        <f t="shared" si="1"/>
        <v>1</v>
      </c>
    </row>
    <row r="38" spans="1:17" x14ac:dyDescent="0.15">
      <c r="B38" s="2" t="s">
        <v>725</v>
      </c>
      <c r="C38" s="2" t="s">
        <v>727</v>
      </c>
      <c r="D38" s="2" t="s">
        <v>728</v>
      </c>
      <c r="E38" s="3">
        <v>0.1</v>
      </c>
      <c r="F38" s="24">
        <v>2</v>
      </c>
      <c r="G38" s="2">
        <v>10</v>
      </c>
      <c r="H38" s="2"/>
      <c r="I38" s="3" t="str">
        <f t="shared" si="2"/>
        <v>0.2</v>
      </c>
      <c r="J38" s="2"/>
      <c r="K38" s="2"/>
      <c r="L38" s="2"/>
      <c r="M38" s="3" t="s">
        <v>735</v>
      </c>
      <c r="N38" s="2"/>
      <c r="O38" s="2"/>
      <c r="P38" s="2"/>
      <c r="Q38" s="3" t="b">
        <f t="shared" si="1"/>
        <v>1</v>
      </c>
    </row>
    <row r="39" spans="1:17" x14ac:dyDescent="0.15">
      <c r="D39" t="s">
        <v>729</v>
      </c>
      <c r="E39" s="1">
        <v>0.05</v>
      </c>
      <c r="F39" s="7">
        <v>2</v>
      </c>
      <c r="G39">
        <v>10</v>
      </c>
      <c r="I39" s="1" t="str">
        <f t="shared" si="2"/>
        <v>0.1</v>
      </c>
      <c r="M39" s="1" t="s">
        <v>718</v>
      </c>
      <c r="Q39" s="1" t="b">
        <f t="shared" si="1"/>
        <v>1</v>
      </c>
    </row>
    <row r="40" spans="1:17" x14ac:dyDescent="0.15">
      <c r="D40" t="s">
        <v>730</v>
      </c>
      <c r="E40" s="1">
        <v>0.5</v>
      </c>
      <c r="F40" s="7">
        <v>2</v>
      </c>
      <c r="G40">
        <v>10</v>
      </c>
      <c r="I40" s="1" t="str">
        <f t="shared" si="2"/>
        <v>1</v>
      </c>
      <c r="M40" s="1" t="s">
        <v>44</v>
      </c>
      <c r="Q40" s="1" t="b">
        <f t="shared" si="1"/>
        <v>1</v>
      </c>
    </row>
    <row r="41" spans="1:17" x14ac:dyDescent="0.15">
      <c r="C41" s="2" t="s">
        <v>726</v>
      </c>
      <c r="D41" s="2" t="s">
        <v>728</v>
      </c>
      <c r="E41" s="3">
        <v>0.01</v>
      </c>
      <c r="F41" s="24">
        <v>0.2</v>
      </c>
      <c r="G41" s="2">
        <v>10</v>
      </c>
      <c r="H41" s="2"/>
      <c r="I41" s="3" t="str">
        <f t="shared" si="2"/>
        <v>0.002</v>
      </c>
      <c r="J41" s="2"/>
      <c r="K41" s="2"/>
      <c r="L41" s="2"/>
      <c r="M41" s="3" t="s">
        <v>736</v>
      </c>
      <c r="N41" s="2"/>
      <c r="O41" s="2"/>
      <c r="P41" s="2"/>
      <c r="Q41" s="3" t="b">
        <f t="shared" si="1"/>
        <v>1</v>
      </c>
    </row>
    <row r="42" spans="1:17" x14ac:dyDescent="0.15">
      <c r="C42" s="6"/>
      <c r="D42" s="6" t="s">
        <v>729</v>
      </c>
      <c r="E42" s="1">
        <v>0.05</v>
      </c>
      <c r="F42" s="7">
        <v>0.2</v>
      </c>
      <c r="G42" s="7">
        <v>10</v>
      </c>
      <c r="H42" s="6"/>
      <c r="I42" s="1" t="str">
        <f t="shared" si="2"/>
        <v>0.01</v>
      </c>
      <c r="J42" s="6"/>
      <c r="K42" s="6"/>
      <c r="L42" s="6"/>
      <c r="M42" s="1" t="s">
        <v>737</v>
      </c>
      <c r="N42" s="6"/>
      <c r="O42" s="6"/>
      <c r="P42" s="6"/>
      <c r="Q42" s="1" t="b">
        <f t="shared" si="1"/>
        <v>1</v>
      </c>
    </row>
    <row r="43" spans="1:17" x14ac:dyDescent="0.15">
      <c r="C43" s="2" t="s">
        <v>738</v>
      </c>
      <c r="D43" s="24" t="s">
        <v>739</v>
      </c>
      <c r="E43" s="3">
        <v>234</v>
      </c>
      <c r="F43" s="24">
        <v>0.1</v>
      </c>
      <c r="G43" s="2">
        <v>10</v>
      </c>
      <c r="H43" s="2"/>
      <c r="I43" s="3" t="str">
        <f t="shared" si="2"/>
        <v>23.4</v>
      </c>
      <c r="J43" s="2"/>
      <c r="K43" s="2"/>
      <c r="L43" s="2"/>
      <c r="M43" s="3" t="s">
        <v>743</v>
      </c>
      <c r="N43" s="2"/>
      <c r="O43" s="2"/>
      <c r="P43" s="2"/>
      <c r="Q43" s="3" t="b">
        <f t="shared" si="1"/>
        <v>1</v>
      </c>
    </row>
    <row r="44" spans="1:17" x14ac:dyDescent="0.15">
      <c r="D44" s="7" t="s">
        <v>740</v>
      </c>
      <c r="E44" s="1">
        <v>234</v>
      </c>
      <c r="F44" s="7">
        <v>0.01</v>
      </c>
      <c r="G44">
        <v>10</v>
      </c>
      <c r="I44" s="1" t="str">
        <f t="shared" si="2"/>
        <v>2.34</v>
      </c>
      <c r="M44" s="1" t="s">
        <v>744</v>
      </c>
      <c r="Q44" s="1" t="b">
        <f t="shared" si="1"/>
        <v>1</v>
      </c>
    </row>
    <row r="45" spans="1:17" x14ac:dyDescent="0.15">
      <c r="D45" s="7" t="s">
        <v>741</v>
      </c>
      <c r="E45" s="1">
        <v>234</v>
      </c>
      <c r="F45" s="7">
        <v>1E-3</v>
      </c>
      <c r="G45">
        <v>10</v>
      </c>
      <c r="I45" s="1" t="str">
        <f t="shared" si="2"/>
        <v>0.234</v>
      </c>
      <c r="M45" s="1" t="s">
        <v>745</v>
      </c>
      <c r="Q45" s="1" t="b">
        <f t="shared" si="1"/>
        <v>1</v>
      </c>
    </row>
    <row r="46" spans="1:17" x14ac:dyDescent="0.15">
      <c r="D46" s="7" t="s">
        <v>742</v>
      </c>
      <c r="E46" s="1">
        <v>234</v>
      </c>
      <c r="F46" s="7">
        <v>1E-4</v>
      </c>
      <c r="G46">
        <v>10</v>
      </c>
      <c r="I46" s="1" t="str">
        <f t="shared" si="2"/>
        <v>0.0234</v>
      </c>
      <c r="M46" s="1" t="s">
        <v>746</v>
      </c>
      <c r="Q46" s="1" t="b">
        <f t="shared" si="1"/>
        <v>1</v>
      </c>
    </row>
    <row r="47" spans="1:17" x14ac:dyDescent="0.15">
      <c r="B47" s="2" t="s">
        <v>747</v>
      </c>
      <c r="C47" s="2" t="s">
        <v>748</v>
      </c>
      <c r="D47" s="24"/>
      <c r="E47" s="3">
        <v>2</v>
      </c>
      <c r="F47" s="24">
        <v>3</v>
      </c>
      <c r="G47" s="2">
        <v>10</v>
      </c>
      <c r="H47" s="2"/>
      <c r="I47" s="3" t="str">
        <f t="shared" si="2"/>
        <v>6</v>
      </c>
      <c r="J47" s="2"/>
      <c r="K47" s="2"/>
      <c r="L47" s="2"/>
      <c r="M47" s="3" t="s">
        <v>750</v>
      </c>
      <c r="N47" s="2"/>
      <c r="O47" s="2"/>
      <c r="P47" s="2"/>
      <c r="Q47" s="3" t="b">
        <f t="shared" si="1"/>
        <v>1</v>
      </c>
    </row>
    <row r="48" spans="1:17" x14ac:dyDescent="0.15">
      <c r="C48" s="2" t="s">
        <v>699</v>
      </c>
      <c r="D48" s="2"/>
      <c r="E48" s="3">
        <v>-2</v>
      </c>
      <c r="F48" s="24">
        <v>3</v>
      </c>
      <c r="G48" s="2">
        <v>10</v>
      </c>
      <c r="H48" s="2"/>
      <c r="I48" s="3" t="str">
        <f t="shared" si="2"/>
        <v>-6</v>
      </c>
      <c r="J48" s="2"/>
      <c r="K48" s="2"/>
      <c r="L48" s="2"/>
      <c r="M48" s="3" t="s">
        <v>751</v>
      </c>
      <c r="N48" s="2"/>
      <c r="O48" s="2"/>
      <c r="P48" s="2"/>
      <c r="Q48" s="3" t="b">
        <f t="shared" si="1"/>
        <v>1</v>
      </c>
    </row>
    <row r="49" spans="1:18" x14ac:dyDescent="0.15">
      <c r="D49" t="s">
        <v>702</v>
      </c>
      <c r="E49" s="1">
        <v>-2</v>
      </c>
      <c r="F49" s="7">
        <v>0</v>
      </c>
      <c r="G49">
        <v>10</v>
      </c>
      <c r="I49" s="1" t="str">
        <f t="shared" si="2"/>
        <v>0</v>
      </c>
      <c r="M49" s="1" t="s">
        <v>14</v>
      </c>
      <c r="Q49" s="1" t="b">
        <f t="shared" si="1"/>
        <v>1</v>
      </c>
    </row>
    <row r="50" spans="1:18" x14ac:dyDescent="0.15">
      <c r="D50" t="s">
        <v>702</v>
      </c>
      <c r="E50" s="9" t="s">
        <v>749</v>
      </c>
      <c r="F50" s="7">
        <v>2</v>
      </c>
      <c r="G50">
        <v>10</v>
      </c>
      <c r="I50" s="1" t="str">
        <f t="shared" si="2"/>
        <v>0</v>
      </c>
      <c r="M50" s="1" t="s">
        <v>14</v>
      </c>
      <c r="Q50" s="1" t="b">
        <f t="shared" si="1"/>
        <v>1</v>
      </c>
    </row>
    <row r="51" spans="1:18" x14ac:dyDescent="0.15">
      <c r="C51" s="2" t="s">
        <v>705</v>
      </c>
      <c r="D51" s="2"/>
      <c r="E51" s="3">
        <v>2</v>
      </c>
      <c r="F51" s="24">
        <v>-3</v>
      </c>
      <c r="G51" s="2">
        <v>10</v>
      </c>
      <c r="H51" s="2"/>
      <c r="I51" s="3" t="str">
        <f t="shared" si="2"/>
        <v>-6</v>
      </c>
      <c r="J51" s="2"/>
      <c r="K51" s="2"/>
      <c r="L51" s="2"/>
      <c r="M51" s="3" t="s">
        <v>751</v>
      </c>
      <c r="N51" s="2"/>
      <c r="O51" s="2"/>
      <c r="P51" s="2"/>
      <c r="Q51" s="3" t="b">
        <f t="shared" si="1"/>
        <v>1</v>
      </c>
    </row>
    <row r="52" spans="1:18" x14ac:dyDescent="0.15">
      <c r="D52" t="s">
        <v>702</v>
      </c>
      <c r="E52" s="1">
        <v>2</v>
      </c>
      <c r="F52" s="7">
        <v>0</v>
      </c>
      <c r="G52">
        <v>10</v>
      </c>
      <c r="I52" s="1" t="str">
        <f t="shared" si="2"/>
        <v>0</v>
      </c>
      <c r="M52" s="1" t="s">
        <v>14</v>
      </c>
      <c r="Q52" s="1" t="b">
        <f t="shared" si="1"/>
        <v>1</v>
      </c>
    </row>
    <row r="53" spans="1:18" x14ac:dyDescent="0.15">
      <c r="D53" t="s">
        <v>702</v>
      </c>
      <c r="E53" s="1">
        <v>0</v>
      </c>
      <c r="F53" s="7">
        <v>-2</v>
      </c>
      <c r="G53">
        <v>10</v>
      </c>
      <c r="I53" s="1" t="str">
        <f t="shared" si="2"/>
        <v>0</v>
      </c>
      <c r="M53" s="1" t="s">
        <v>14</v>
      </c>
      <c r="Q53" s="1" t="b">
        <f t="shared" si="1"/>
        <v>1</v>
      </c>
    </row>
    <row r="54" spans="1:18" x14ac:dyDescent="0.15">
      <c r="C54" s="2" t="s">
        <v>752</v>
      </c>
      <c r="D54" s="2"/>
      <c r="E54" s="3">
        <v>-2</v>
      </c>
      <c r="F54" s="24">
        <v>-3</v>
      </c>
      <c r="G54" s="2">
        <v>10</v>
      </c>
      <c r="H54" s="2"/>
      <c r="I54" s="3" t="str">
        <f t="shared" si="2"/>
        <v>6</v>
      </c>
      <c r="J54" s="2"/>
      <c r="K54" s="2"/>
      <c r="L54" s="2"/>
      <c r="M54" s="3" t="s">
        <v>750</v>
      </c>
      <c r="N54" s="2"/>
      <c r="O54" s="2"/>
      <c r="P54" s="2"/>
      <c r="Q54" s="3" t="b">
        <f t="shared" si="1"/>
        <v>1</v>
      </c>
    </row>
    <row r="55" spans="1:18" x14ac:dyDescent="0.15">
      <c r="B55" s="2" t="s">
        <v>734</v>
      </c>
      <c r="C55" s="2"/>
      <c r="D55" s="2" t="s">
        <v>722</v>
      </c>
      <c r="E55" s="3">
        <v>10</v>
      </c>
      <c r="F55" s="24">
        <v>10</v>
      </c>
      <c r="G55" s="2">
        <v>2</v>
      </c>
      <c r="H55" s="2"/>
      <c r="I55" s="3" t="str">
        <f t="shared" si="2"/>
        <v>100</v>
      </c>
      <c r="J55" s="2"/>
      <c r="K55" s="2"/>
      <c r="L55" s="2"/>
      <c r="M55" s="3" t="s">
        <v>21</v>
      </c>
      <c r="N55" s="2"/>
      <c r="O55" s="2"/>
      <c r="P55" s="2"/>
      <c r="Q55" s="3" t="b">
        <f t="shared" si="1"/>
        <v>1</v>
      </c>
    </row>
    <row r="56" spans="1:18" x14ac:dyDescent="0.15">
      <c r="D56" t="s">
        <v>723</v>
      </c>
      <c r="E56" s="1">
        <v>9</v>
      </c>
      <c r="F56" s="7">
        <v>9</v>
      </c>
      <c r="G56">
        <v>10</v>
      </c>
      <c r="I56" s="1" t="str">
        <f t="shared" si="2"/>
        <v>81</v>
      </c>
      <c r="M56" s="1" t="s">
        <v>328</v>
      </c>
      <c r="Q56" s="1" t="b">
        <f t="shared" si="1"/>
        <v>1</v>
      </c>
    </row>
    <row r="57" spans="1:18" x14ac:dyDescent="0.15">
      <c r="D57" t="s">
        <v>724</v>
      </c>
      <c r="E57" s="8" t="s">
        <v>753</v>
      </c>
      <c r="F57" s="37" t="s">
        <v>753</v>
      </c>
      <c r="G57">
        <v>16</v>
      </c>
      <c r="I57" s="1" t="str">
        <f t="shared" si="2"/>
        <v>E1</v>
      </c>
      <c r="M57" s="1" t="s">
        <v>327</v>
      </c>
      <c r="Q57" s="1" t="b">
        <f t="shared" si="1"/>
        <v>1</v>
      </c>
    </row>
    <row r="58" spans="1:18" x14ac:dyDescent="0.15">
      <c r="D58" t="s">
        <v>731</v>
      </c>
      <c r="E58" s="1">
        <v>9</v>
      </c>
      <c r="F58" s="7">
        <v>9</v>
      </c>
      <c r="I58" s="1" t="str">
        <f>multipleBaseNNumber(E58,F58)</f>
        <v>81</v>
      </c>
      <c r="M58" s="1" t="s">
        <v>328</v>
      </c>
      <c r="Q58" s="1" t="b">
        <f t="shared" si="1"/>
        <v>1</v>
      </c>
    </row>
    <row r="59" spans="1:18" x14ac:dyDescent="0.15">
      <c r="D59" t="s">
        <v>732</v>
      </c>
      <c r="E59" s="1">
        <v>9</v>
      </c>
      <c r="F59" s="37" t="s">
        <v>733</v>
      </c>
      <c r="I59" s="1" t="e">
        <f>multipleBaseNNumber(E59,F59)</f>
        <v>#NUM!</v>
      </c>
      <c r="M59" s="1" t="e">
        <v>#NUM!</v>
      </c>
      <c r="Q59" s="1" t="b">
        <f t="shared" si="1"/>
        <v>1</v>
      </c>
    </row>
    <row r="60" spans="1:18" x14ac:dyDescent="0.15">
      <c r="A60" s="2" t="s">
        <v>904</v>
      </c>
      <c r="B60" s="2" t="s">
        <v>899</v>
      </c>
      <c r="C60" s="2" t="s">
        <v>762</v>
      </c>
      <c r="D60" s="2" t="s">
        <v>560</v>
      </c>
      <c r="E60" s="3"/>
      <c r="F60" s="38">
        <v>2</v>
      </c>
      <c r="G60" s="2">
        <v>10</v>
      </c>
      <c r="H60" s="2"/>
      <c r="I60" s="3" t="e">
        <f t="shared" ref="I60:I88" si="3">divideBaseNNumber(E60,F60,G60)</f>
        <v>#NULL!</v>
      </c>
      <c r="J60" s="2" t="e">
        <f t="shared" ref="J60:J88" si="4">divideBaseNNumberRem(E60,F60,G60)</f>
        <v>#NULL!</v>
      </c>
      <c r="K60" s="2"/>
      <c r="L60" s="2"/>
      <c r="M60" s="3" t="e">
        <v>#NULL!</v>
      </c>
      <c r="N60" s="2" t="e">
        <v>#NULL!</v>
      </c>
      <c r="O60" s="2"/>
      <c r="P60" s="2"/>
      <c r="Q60" s="3" t="b">
        <f t="shared" si="1"/>
        <v>1</v>
      </c>
      <c r="R60" s="2" t="b">
        <f t="shared" si="1"/>
        <v>1</v>
      </c>
    </row>
    <row r="61" spans="1:18" x14ac:dyDescent="0.15">
      <c r="D61" t="s">
        <v>622</v>
      </c>
      <c r="E61" s="1">
        <v>4</v>
      </c>
      <c r="F61" s="37">
        <v>2</v>
      </c>
      <c r="G61">
        <v>1</v>
      </c>
      <c r="I61" s="1" t="e">
        <f t="shared" si="3"/>
        <v>#NUM!</v>
      </c>
      <c r="J61" t="e">
        <f t="shared" si="4"/>
        <v>#NUM!</v>
      </c>
      <c r="M61" s="1" t="e">
        <v>#NUM!</v>
      </c>
      <c r="N61" t="e">
        <v>#NUM!</v>
      </c>
      <c r="Q61" s="1" t="b">
        <f t="shared" si="1"/>
        <v>1</v>
      </c>
      <c r="R61" s="6" t="b">
        <f t="shared" si="1"/>
        <v>1</v>
      </c>
    </row>
    <row r="62" spans="1:18" x14ac:dyDescent="0.15">
      <c r="C62" s="2" t="s">
        <v>763</v>
      </c>
      <c r="D62" s="2" t="s">
        <v>560</v>
      </c>
      <c r="E62" s="3">
        <v>4</v>
      </c>
      <c r="F62" s="38"/>
      <c r="G62" s="2">
        <v>10</v>
      </c>
      <c r="H62" s="2"/>
      <c r="I62" s="3" t="e">
        <f t="shared" si="3"/>
        <v>#NULL!</v>
      </c>
      <c r="J62" s="2" t="e">
        <f t="shared" si="4"/>
        <v>#NULL!</v>
      </c>
      <c r="K62" s="2"/>
      <c r="L62" s="2"/>
      <c r="M62" s="3" t="e">
        <v>#NULL!</v>
      </c>
      <c r="N62" s="2" t="e">
        <v>#NULL!</v>
      </c>
      <c r="O62" s="2"/>
      <c r="P62" s="2"/>
      <c r="Q62" s="3" t="b">
        <f t="shared" si="1"/>
        <v>1</v>
      </c>
      <c r="R62" s="2" t="b">
        <f t="shared" si="1"/>
        <v>1</v>
      </c>
    </row>
    <row r="63" spans="1:18" x14ac:dyDescent="0.15">
      <c r="D63" t="s">
        <v>622</v>
      </c>
      <c r="E63" s="1">
        <v>4</v>
      </c>
      <c r="F63" s="37">
        <v>2</v>
      </c>
      <c r="G63">
        <v>1</v>
      </c>
      <c r="I63" s="1" t="e">
        <f t="shared" si="3"/>
        <v>#NUM!</v>
      </c>
      <c r="J63" t="e">
        <f t="shared" si="4"/>
        <v>#NUM!</v>
      </c>
      <c r="M63" s="1" t="e">
        <v>#NUM!</v>
      </c>
      <c r="N63" t="e">
        <v>#NUM!</v>
      </c>
      <c r="Q63" s="1" t="b">
        <f t="shared" si="1"/>
        <v>1</v>
      </c>
      <c r="R63" s="6" t="b">
        <f t="shared" si="1"/>
        <v>1</v>
      </c>
    </row>
    <row r="64" spans="1:18" x14ac:dyDescent="0.15">
      <c r="B64" s="2" t="s">
        <v>754</v>
      </c>
      <c r="C64" s="2" t="s">
        <v>762</v>
      </c>
      <c r="D64" s="2" t="s">
        <v>761</v>
      </c>
      <c r="E64" s="39">
        <v>2147483648</v>
      </c>
      <c r="F64" s="38">
        <v>2147483647</v>
      </c>
      <c r="G64" s="2">
        <v>10</v>
      </c>
      <c r="H64" s="2"/>
      <c r="I64" s="3" t="e">
        <f t="shared" si="3"/>
        <v>#NUM!</v>
      </c>
      <c r="J64" s="2" t="e">
        <f t="shared" si="4"/>
        <v>#NUM!</v>
      </c>
      <c r="K64" s="2"/>
      <c r="L64" s="2"/>
      <c r="M64" s="3" t="e">
        <v>#NUM!</v>
      </c>
      <c r="N64" s="2" t="e">
        <v>#NUM!</v>
      </c>
      <c r="O64" s="2"/>
      <c r="P64" s="2"/>
      <c r="Q64" s="3" t="b">
        <f t="shared" si="1"/>
        <v>1</v>
      </c>
      <c r="R64" s="2" t="b">
        <f t="shared" si="1"/>
        <v>1</v>
      </c>
    </row>
    <row r="65" spans="2:18" x14ac:dyDescent="0.15">
      <c r="D65" s="23" t="s">
        <v>778</v>
      </c>
      <c r="E65" s="1">
        <v>0</v>
      </c>
      <c r="F65" s="37">
        <v>2147483647</v>
      </c>
      <c r="G65">
        <v>10</v>
      </c>
      <c r="I65" s="1" t="str">
        <f t="shared" si="3"/>
        <v>0</v>
      </c>
      <c r="J65" t="str">
        <f t="shared" si="4"/>
        <v>0</v>
      </c>
      <c r="M65" s="1" t="s">
        <v>14</v>
      </c>
      <c r="N65" t="s">
        <v>14</v>
      </c>
      <c r="Q65" s="1" t="b">
        <f t="shared" si="1"/>
        <v>1</v>
      </c>
      <c r="R65" s="6" t="b">
        <f t="shared" si="1"/>
        <v>1</v>
      </c>
    </row>
    <row r="66" spans="2:18" x14ac:dyDescent="0.15">
      <c r="C66" s="2" t="s">
        <v>763</v>
      </c>
      <c r="D66" s="2" t="s">
        <v>761</v>
      </c>
      <c r="E66" s="3">
        <v>2147483647</v>
      </c>
      <c r="F66" s="38">
        <v>2147483648</v>
      </c>
      <c r="G66" s="2">
        <v>10</v>
      </c>
      <c r="H66" s="2"/>
      <c r="I66" s="3" t="e">
        <f t="shared" si="3"/>
        <v>#NUM!</v>
      </c>
      <c r="J66" s="2" t="e">
        <f t="shared" si="4"/>
        <v>#NUM!</v>
      </c>
      <c r="K66" s="2"/>
      <c r="L66" s="2"/>
      <c r="M66" s="3" t="e">
        <v>#NUM!</v>
      </c>
      <c r="N66" s="2" t="e">
        <v>#NUM!</v>
      </c>
      <c r="O66" s="2"/>
      <c r="P66" s="2"/>
      <c r="Q66" s="3" t="b">
        <f t="shared" si="1"/>
        <v>1</v>
      </c>
      <c r="R66" s="2" t="b">
        <f t="shared" si="1"/>
        <v>1</v>
      </c>
    </row>
    <row r="67" spans="2:18" x14ac:dyDescent="0.15">
      <c r="D67" s="23" t="s">
        <v>778</v>
      </c>
      <c r="E67" s="1">
        <v>2147483647</v>
      </c>
      <c r="F67" s="37">
        <v>0</v>
      </c>
      <c r="G67">
        <v>10</v>
      </c>
      <c r="I67" s="1" t="e">
        <f t="shared" si="3"/>
        <v>#DIV/0!</v>
      </c>
      <c r="J67" t="e">
        <f t="shared" si="4"/>
        <v>#DIV/0!</v>
      </c>
      <c r="M67" s="1" t="e">
        <v>#DIV/0!</v>
      </c>
      <c r="N67" t="e">
        <v>#DIV/0!</v>
      </c>
      <c r="Q67" s="1" t="b">
        <f t="shared" si="1"/>
        <v>1</v>
      </c>
      <c r="R67" s="6" t="b">
        <f>getText(J67)=getText(N67)</f>
        <v>1</v>
      </c>
    </row>
    <row r="68" spans="2:18" x14ac:dyDescent="0.15">
      <c r="B68" s="2" t="s">
        <v>1002</v>
      </c>
      <c r="C68" s="2" t="s">
        <v>755</v>
      </c>
      <c r="D68" s="2" t="s">
        <v>760</v>
      </c>
      <c r="E68" s="3">
        <v>22</v>
      </c>
      <c r="F68" s="38">
        <v>2</v>
      </c>
      <c r="G68" s="2">
        <v>10</v>
      </c>
      <c r="H68" s="2"/>
      <c r="I68" s="3" t="str">
        <f t="shared" si="3"/>
        <v>11</v>
      </c>
      <c r="J68" s="2" t="str">
        <f t="shared" si="4"/>
        <v>0</v>
      </c>
      <c r="K68" s="2"/>
      <c r="L68" s="2"/>
      <c r="M68" s="3" t="s">
        <v>18</v>
      </c>
      <c r="N68" s="2" t="s">
        <v>14</v>
      </c>
      <c r="O68" s="2"/>
      <c r="P68" s="2"/>
      <c r="Q68" s="3" t="b">
        <f t="shared" ref="Q68:R75" si="5">getText(I68)=getText(M68)</f>
        <v>1</v>
      </c>
      <c r="R68" s="2" t="b">
        <f t="shared" si="5"/>
        <v>1</v>
      </c>
    </row>
    <row r="69" spans="2:18" x14ac:dyDescent="0.15">
      <c r="D69" t="s">
        <v>756</v>
      </c>
      <c r="E69" s="1">
        <v>10</v>
      </c>
      <c r="F69" s="37">
        <v>2</v>
      </c>
      <c r="G69">
        <v>10</v>
      </c>
      <c r="I69" s="1" t="str">
        <f t="shared" si="3"/>
        <v>5</v>
      </c>
      <c r="J69" t="str">
        <f t="shared" si="4"/>
        <v>0</v>
      </c>
      <c r="M69" s="1" t="s">
        <v>82</v>
      </c>
      <c r="N69" t="s">
        <v>14</v>
      </c>
      <c r="Q69" s="1" t="b">
        <f t="shared" si="5"/>
        <v>1</v>
      </c>
      <c r="R69" s="6" t="b">
        <f t="shared" si="5"/>
        <v>1</v>
      </c>
    </row>
    <row r="70" spans="2:18" x14ac:dyDescent="0.15">
      <c r="D70" t="s">
        <v>757</v>
      </c>
      <c r="E70" s="1">
        <v>1</v>
      </c>
      <c r="F70" s="37">
        <v>2</v>
      </c>
      <c r="G70">
        <v>10</v>
      </c>
      <c r="I70" s="1" t="str">
        <f t="shared" si="3"/>
        <v>0.5</v>
      </c>
      <c r="J70" t="str">
        <f t="shared" si="4"/>
        <v>0</v>
      </c>
      <c r="M70" s="1" t="s">
        <v>764</v>
      </c>
      <c r="N70" t="s">
        <v>14</v>
      </c>
      <c r="Q70" s="1" t="b">
        <f t="shared" si="5"/>
        <v>1</v>
      </c>
      <c r="R70" s="6" t="b">
        <f t="shared" si="5"/>
        <v>1</v>
      </c>
    </row>
    <row r="71" spans="2:18" x14ac:dyDescent="0.15">
      <c r="D71" t="s">
        <v>758</v>
      </c>
      <c r="E71" s="1">
        <v>1</v>
      </c>
      <c r="F71" s="37">
        <v>20</v>
      </c>
      <c r="G71">
        <v>10</v>
      </c>
      <c r="I71" s="1" t="str">
        <f t="shared" si="3"/>
        <v>0.05</v>
      </c>
      <c r="J71" t="str">
        <f t="shared" si="4"/>
        <v>0</v>
      </c>
      <c r="M71" s="1" t="s">
        <v>765</v>
      </c>
      <c r="N71" t="s">
        <v>14</v>
      </c>
      <c r="Q71" s="1" t="b">
        <f t="shared" si="5"/>
        <v>1</v>
      </c>
      <c r="R71" s="6" t="b">
        <f t="shared" si="5"/>
        <v>1</v>
      </c>
    </row>
    <row r="72" spans="2:18" x14ac:dyDescent="0.15">
      <c r="D72" t="s">
        <v>759</v>
      </c>
      <c r="E72" s="1">
        <v>1</v>
      </c>
      <c r="F72" s="37">
        <v>200</v>
      </c>
      <c r="G72">
        <v>10</v>
      </c>
      <c r="I72" s="1" t="str">
        <f t="shared" si="3"/>
        <v>0.005</v>
      </c>
      <c r="J72" t="str">
        <f t="shared" si="4"/>
        <v>0</v>
      </c>
      <c r="M72" s="1" t="s">
        <v>766</v>
      </c>
      <c r="N72" t="s">
        <v>14</v>
      </c>
      <c r="Q72" s="1" t="b">
        <f t="shared" si="5"/>
        <v>1</v>
      </c>
      <c r="R72" s="6" t="b">
        <f t="shared" si="5"/>
        <v>1</v>
      </c>
    </row>
    <row r="73" spans="2:18" x14ac:dyDescent="0.15">
      <c r="C73" s="2" t="s">
        <v>767</v>
      </c>
      <c r="D73" s="2" t="s">
        <v>771</v>
      </c>
      <c r="E73" s="3">
        <v>20</v>
      </c>
      <c r="F73" s="38">
        <v>0.2</v>
      </c>
      <c r="G73" s="2">
        <v>10</v>
      </c>
      <c r="H73" s="2"/>
      <c r="I73" s="3" t="str">
        <f t="shared" si="3"/>
        <v>100</v>
      </c>
      <c r="J73" s="2" t="str">
        <f t="shared" si="4"/>
        <v>0</v>
      </c>
      <c r="K73" s="2"/>
      <c r="L73" s="2"/>
      <c r="M73" s="3" t="s">
        <v>21</v>
      </c>
      <c r="N73" s="2" t="s">
        <v>14</v>
      </c>
      <c r="O73" s="2"/>
      <c r="P73" s="2"/>
      <c r="Q73" s="3" t="b">
        <f t="shared" si="5"/>
        <v>1</v>
      </c>
      <c r="R73" s="2" t="b">
        <f t="shared" si="5"/>
        <v>1</v>
      </c>
    </row>
    <row r="74" spans="2:18" x14ac:dyDescent="0.15">
      <c r="D74" t="s">
        <v>772</v>
      </c>
      <c r="E74" s="1">
        <v>20</v>
      </c>
      <c r="F74" s="37">
        <v>0.02</v>
      </c>
      <c r="G74">
        <v>10</v>
      </c>
      <c r="I74" s="1" t="str">
        <f t="shared" si="3"/>
        <v>1000</v>
      </c>
      <c r="J74" t="str">
        <f t="shared" si="4"/>
        <v>0</v>
      </c>
      <c r="M74" s="1" t="s">
        <v>34</v>
      </c>
      <c r="N74" t="s">
        <v>14</v>
      </c>
      <c r="Q74" s="1" t="b">
        <f t="shared" si="5"/>
        <v>1</v>
      </c>
      <c r="R74" s="6" t="b">
        <f t="shared" si="5"/>
        <v>1</v>
      </c>
    </row>
    <row r="75" spans="2:18" x14ac:dyDescent="0.15">
      <c r="D75" t="s">
        <v>773</v>
      </c>
      <c r="E75" s="1">
        <v>20</v>
      </c>
      <c r="F75" s="37">
        <v>2E-3</v>
      </c>
      <c r="G75">
        <v>10</v>
      </c>
      <c r="I75" s="1" t="str">
        <f t="shared" si="3"/>
        <v>10000</v>
      </c>
      <c r="J75" t="str">
        <f t="shared" si="4"/>
        <v>0</v>
      </c>
      <c r="M75" s="1" t="s">
        <v>776</v>
      </c>
      <c r="N75" t="s">
        <v>14</v>
      </c>
      <c r="Q75" s="1" t="b">
        <f t="shared" si="5"/>
        <v>1</v>
      </c>
      <c r="R75" s="6" t="b">
        <f t="shared" si="5"/>
        <v>1</v>
      </c>
    </row>
    <row r="76" spans="2:18" x14ac:dyDescent="0.15">
      <c r="C76" s="2" t="s">
        <v>726</v>
      </c>
      <c r="D76" s="2" t="s">
        <v>756</v>
      </c>
      <c r="E76" s="3">
        <v>2.4E-2</v>
      </c>
      <c r="F76" s="38">
        <v>0.12</v>
      </c>
      <c r="G76" s="2">
        <v>10</v>
      </c>
      <c r="H76" s="2"/>
      <c r="I76" s="3" t="str">
        <f t="shared" si="3"/>
        <v>0.2</v>
      </c>
      <c r="J76" s="2" t="str">
        <f t="shared" si="4"/>
        <v>0</v>
      </c>
      <c r="K76" s="2"/>
      <c r="L76" s="2"/>
      <c r="M76" s="3" t="s">
        <v>735</v>
      </c>
      <c r="N76" s="2" t="s">
        <v>14</v>
      </c>
      <c r="O76" s="2"/>
      <c r="P76" s="2"/>
      <c r="Q76" s="3" t="b">
        <f t="shared" ref="Q76:R156" si="6">getText(I76)=getText(M76)</f>
        <v>1</v>
      </c>
      <c r="R76" s="2" t="b">
        <f t="shared" si="6"/>
        <v>1</v>
      </c>
    </row>
    <row r="77" spans="2:18" x14ac:dyDescent="0.15">
      <c r="D77" t="s">
        <v>768</v>
      </c>
      <c r="E77" s="1">
        <v>2.4E-2</v>
      </c>
      <c r="F77" s="37">
        <v>1.2E-2</v>
      </c>
      <c r="G77">
        <v>10</v>
      </c>
      <c r="I77" s="1" t="str">
        <f t="shared" si="3"/>
        <v>2</v>
      </c>
      <c r="J77" t="str">
        <f>divideBaseNNumberRem(E77,F77,G77)</f>
        <v>0</v>
      </c>
      <c r="M77" s="1" t="s">
        <v>290</v>
      </c>
      <c r="N77" t="s">
        <v>14</v>
      </c>
      <c r="Q77" s="1" t="b">
        <f t="shared" si="6"/>
        <v>1</v>
      </c>
      <c r="R77" s="6" t="b">
        <f t="shared" si="6"/>
        <v>1</v>
      </c>
    </row>
    <row r="78" spans="2:18" x14ac:dyDescent="0.15">
      <c r="D78" t="s">
        <v>769</v>
      </c>
      <c r="E78" s="1">
        <v>2.4E-2</v>
      </c>
      <c r="F78" s="37">
        <v>1.1999999999999999E-3</v>
      </c>
      <c r="G78">
        <v>10</v>
      </c>
      <c r="I78" s="1" t="str">
        <f t="shared" si="3"/>
        <v>20</v>
      </c>
      <c r="J78" t="str">
        <f t="shared" si="4"/>
        <v>0</v>
      </c>
      <c r="M78" s="1" t="s">
        <v>774</v>
      </c>
      <c r="N78" t="s">
        <v>14</v>
      </c>
      <c r="Q78" s="1" t="b">
        <f t="shared" si="6"/>
        <v>1</v>
      </c>
      <c r="R78" s="6" t="b">
        <f t="shared" si="6"/>
        <v>1</v>
      </c>
    </row>
    <row r="79" spans="2:18" x14ac:dyDescent="0.15">
      <c r="D79" t="s">
        <v>770</v>
      </c>
      <c r="E79" s="1">
        <v>2.4E-2</v>
      </c>
      <c r="F79" s="37">
        <v>1.2E-4</v>
      </c>
      <c r="G79">
        <v>10</v>
      </c>
      <c r="I79" s="1" t="str">
        <f t="shared" si="3"/>
        <v>200</v>
      </c>
      <c r="J79" t="str">
        <f t="shared" si="4"/>
        <v>0</v>
      </c>
      <c r="M79" s="1" t="s">
        <v>775</v>
      </c>
      <c r="N79" t="s">
        <v>14</v>
      </c>
      <c r="Q79" s="1" t="b">
        <f t="shared" si="6"/>
        <v>1</v>
      </c>
      <c r="R79" s="6" t="b">
        <f t="shared" si="6"/>
        <v>1</v>
      </c>
    </row>
    <row r="80" spans="2:18" x14ac:dyDescent="0.15">
      <c r="B80" s="2" t="s">
        <v>613</v>
      </c>
      <c r="C80" s="2" t="s">
        <v>706</v>
      </c>
      <c r="D80" s="24"/>
      <c r="E80" s="3">
        <v>24</v>
      </c>
      <c r="F80" s="38">
        <v>2</v>
      </c>
      <c r="G80" s="2">
        <v>10</v>
      </c>
      <c r="H80" s="2"/>
      <c r="I80" s="3" t="str">
        <f t="shared" si="3"/>
        <v>12</v>
      </c>
      <c r="J80" s="2" t="str">
        <f t="shared" si="4"/>
        <v>0</v>
      </c>
      <c r="K80" s="2"/>
      <c r="L80" s="2"/>
      <c r="M80" s="3" t="s">
        <v>646</v>
      </c>
      <c r="N80" s="2" t="s">
        <v>14</v>
      </c>
      <c r="O80" s="2"/>
      <c r="P80" s="2"/>
      <c r="Q80" s="3" t="b">
        <f t="shared" si="6"/>
        <v>1</v>
      </c>
      <c r="R80" s="2" t="b">
        <f t="shared" si="6"/>
        <v>1</v>
      </c>
    </row>
    <row r="81" spans="2:18" x14ac:dyDescent="0.15">
      <c r="C81" s="2" t="s">
        <v>699</v>
      </c>
      <c r="D81" s="2"/>
      <c r="E81" s="3">
        <v>-24</v>
      </c>
      <c r="F81" s="38">
        <v>2</v>
      </c>
      <c r="G81" s="2">
        <v>10</v>
      </c>
      <c r="H81" s="2"/>
      <c r="I81" s="3" t="str">
        <f t="shared" si="3"/>
        <v>-12</v>
      </c>
      <c r="J81" s="2" t="str">
        <f t="shared" si="4"/>
        <v>0</v>
      </c>
      <c r="K81" s="2"/>
      <c r="L81" s="2"/>
      <c r="M81" s="3" t="s">
        <v>777</v>
      </c>
      <c r="N81" s="2" t="s">
        <v>14</v>
      </c>
      <c r="O81" s="2"/>
      <c r="P81" s="2"/>
      <c r="Q81" s="3" t="b">
        <f t="shared" si="6"/>
        <v>1</v>
      </c>
      <c r="R81" s="2" t="b">
        <f t="shared" si="6"/>
        <v>1</v>
      </c>
    </row>
    <row r="82" spans="2:18" x14ac:dyDescent="0.15">
      <c r="D82" t="s">
        <v>702</v>
      </c>
      <c r="E82" s="1">
        <v>0</v>
      </c>
      <c r="F82" s="37">
        <v>2</v>
      </c>
      <c r="G82">
        <v>10</v>
      </c>
      <c r="I82" s="1" t="str">
        <f t="shared" si="3"/>
        <v>0</v>
      </c>
      <c r="J82" t="str">
        <f t="shared" si="4"/>
        <v>0</v>
      </c>
      <c r="M82" s="1" t="s">
        <v>14</v>
      </c>
      <c r="N82" t="s">
        <v>14</v>
      </c>
      <c r="Q82" s="1" t="b">
        <f t="shared" si="6"/>
        <v>1</v>
      </c>
      <c r="R82" s="6" t="b">
        <f t="shared" si="6"/>
        <v>1</v>
      </c>
    </row>
    <row r="83" spans="2:18" x14ac:dyDescent="0.15">
      <c r="C83" s="2" t="s">
        <v>705</v>
      </c>
      <c r="D83" s="2"/>
      <c r="E83" s="3">
        <v>24</v>
      </c>
      <c r="F83" s="38">
        <v>-2</v>
      </c>
      <c r="G83" s="2">
        <v>10</v>
      </c>
      <c r="H83" s="2"/>
      <c r="I83" s="3" t="str">
        <f t="shared" si="3"/>
        <v>-12</v>
      </c>
      <c r="J83" s="2" t="str">
        <f t="shared" si="4"/>
        <v>0</v>
      </c>
      <c r="K83" s="2"/>
      <c r="L83" s="2"/>
      <c r="M83" s="3" t="s">
        <v>777</v>
      </c>
      <c r="N83" s="2" t="s">
        <v>14</v>
      </c>
      <c r="O83" s="2"/>
      <c r="P83" s="2"/>
      <c r="Q83" s="3" t="b">
        <f t="shared" si="6"/>
        <v>1</v>
      </c>
      <c r="R83" s="2" t="b">
        <f t="shared" si="6"/>
        <v>1</v>
      </c>
    </row>
    <row r="84" spans="2:18" x14ac:dyDescent="0.15">
      <c r="D84" t="s">
        <v>702</v>
      </c>
      <c r="E84" s="1">
        <v>0</v>
      </c>
      <c r="F84" s="37">
        <v>-2</v>
      </c>
      <c r="G84">
        <v>10</v>
      </c>
      <c r="I84" s="1" t="str">
        <f t="shared" si="3"/>
        <v>0</v>
      </c>
      <c r="J84" t="str">
        <f t="shared" si="4"/>
        <v>0</v>
      </c>
      <c r="M84" s="1" t="s">
        <v>14</v>
      </c>
      <c r="N84" t="s">
        <v>14</v>
      </c>
      <c r="Q84" s="1" t="b">
        <f t="shared" si="6"/>
        <v>1</v>
      </c>
      <c r="R84" s="6" t="b">
        <f t="shared" si="6"/>
        <v>1</v>
      </c>
    </row>
    <row r="85" spans="2:18" x14ac:dyDescent="0.15">
      <c r="C85" s="2" t="s">
        <v>752</v>
      </c>
      <c r="D85" s="2"/>
      <c r="E85" s="3">
        <v>-24</v>
      </c>
      <c r="F85" s="38">
        <v>-2</v>
      </c>
      <c r="G85" s="2">
        <v>10</v>
      </c>
      <c r="H85" s="2"/>
      <c r="I85" s="3" t="str">
        <f t="shared" si="3"/>
        <v>12</v>
      </c>
      <c r="J85" s="2" t="str">
        <f t="shared" si="4"/>
        <v>0</v>
      </c>
      <c r="K85" s="2"/>
      <c r="L85" s="2"/>
      <c r="M85" s="3" t="s">
        <v>646</v>
      </c>
      <c r="N85" s="2" t="s">
        <v>14</v>
      </c>
      <c r="O85" s="2"/>
      <c r="P85" s="2"/>
      <c r="Q85" s="3" t="b">
        <f t="shared" si="6"/>
        <v>1</v>
      </c>
      <c r="R85" s="2" t="b">
        <f t="shared" si="6"/>
        <v>1</v>
      </c>
    </row>
    <row r="86" spans="2:18" x14ac:dyDescent="0.15">
      <c r="B86" s="2" t="s">
        <v>734</v>
      </c>
      <c r="C86" s="2"/>
      <c r="D86" s="2" t="s">
        <v>722</v>
      </c>
      <c r="E86" s="3">
        <v>100</v>
      </c>
      <c r="F86" s="38">
        <v>10</v>
      </c>
      <c r="G86" s="2">
        <v>2</v>
      </c>
      <c r="H86" s="2"/>
      <c r="I86" s="3" t="str">
        <f t="shared" si="3"/>
        <v>10</v>
      </c>
      <c r="J86" s="2" t="str">
        <f t="shared" si="4"/>
        <v>0</v>
      </c>
      <c r="K86" s="2"/>
      <c r="L86" s="2"/>
      <c r="M86" s="3" t="s">
        <v>15</v>
      </c>
      <c r="N86" s="2" t="s">
        <v>14</v>
      </c>
      <c r="O86" s="2"/>
      <c r="P86" s="2"/>
      <c r="Q86" s="3" t="b">
        <f t="shared" si="6"/>
        <v>1</v>
      </c>
      <c r="R86" s="2" t="b">
        <f t="shared" si="6"/>
        <v>1</v>
      </c>
    </row>
    <row r="87" spans="2:18" x14ac:dyDescent="0.15">
      <c r="D87" t="s">
        <v>723</v>
      </c>
      <c r="E87" s="1">
        <v>990</v>
      </c>
      <c r="F87" s="37">
        <v>99</v>
      </c>
      <c r="G87" s="7">
        <v>10</v>
      </c>
      <c r="I87" s="1" t="str">
        <f t="shared" si="3"/>
        <v>10</v>
      </c>
      <c r="J87" t="str">
        <f t="shared" si="4"/>
        <v>0</v>
      </c>
      <c r="M87" s="1" t="s">
        <v>15</v>
      </c>
      <c r="N87" t="s">
        <v>14</v>
      </c>
      <c r="Q87" s="1" t="b">
        <f t="shared" si="6"/>
        <v>1</v>
      </c>
      <c r="R87" s="6" t="b">
        <f t="shared" si="6"/>
        <v>1</v>
      </c>
    </row>
    <row r="88" spans="2:18" x14ac:dyDescent="0.15">
      <c r="D88" t="s">
        <v>724</v>
      </c>
      <c r="E88" s="8" t="s">
        <v>143</v>
      </c>
      <c r="F88" s="37" t="s">
        <v>26</v>
      </c>
      <c r="G88" s="7">
        <v>16</v>
      </c>
      <c r="I88" s="1" t="str">
        <f t="shared" si="3"/>
        <v>10</v>
      </c>
      <c r="J88" t="str">
        <f t="shared" si="4"/>
        <v>0</v>
      </c>
      <c r="M88" s="1" t="s">
        <v>15</v>
      </c>
      <c r="N88" t="s">
        <v>14</v>
      </c>
      <c r="Q88" s="1" t="b">
        <f t="shared" si="6"/>
        <v>1</v>
      </c>
      <c r="R88" s="6" t="b">
        <f t="shared" si="6"/>
        <v>1</v>
      </c>
    </row>
    <row r="89" spans="2:18" x14ac:dyDescent="0.15">
      <c r="D89" t="s">
        <v>731</v>
      </c>
      <c r="E89" s="1">
        <v>2</v>
      </c>
      <c r="F89" s="37">
        <v>4</v>
      </c>
      <c r="I89" s="1" t="str">
        <f>divideBaseNNumber(E89,F89)</f>
        <v>0.5</v>
      </c>
      <c r="J89" t="str">
        <f>divideBaseNNumberRem(E89,F89)</f>
        <v>0</v>
      </c>
      <c r="M89" s="1" t="s">
        <v>764</v>
      </c>
      <c r="N89" t="s">
        <v>14</v>
      </c>
      <c r="Q89" s="1" t="b">
        <f t="shared" si="6"/>
        <v>1</v>
      </c>
      <c r="R89" s="6" t="b">
        <f t="shared" si="6"/>
        <v>1</v>
      </c>
    </row>
    <row r="90" spans="2:18" x14ac:dyDescent="0.15">
      <c r="D90" t="s">
        <v>732</v>
      </c>
      <c r="E90" s="8" t="s">
        <v>566</v>
      </c>
      <c r="F90" s="37">
        <v>5</v>
      </c>
      <c r="I90" s="1" t="e">
        <f>divideBaseNNumber(E90,F90)</f>
        <v>#NUM!</v>
      </c>
      <c r="J90" t="e">
        <f>divideBaseNNumberRem(E90,F90)</f>
        <v>#NUM!</v>
      </c>
      <c r="M90" s="1" t="e">
        <v>#NUM!</v>
      </c>
      <c r="N90" t="e">
        <v>#NUM!</v>
      </c>
      <c r="Q90" s="1" t="b">
        <f t="shared" si="6"/>
        <v>1</v>
      </c>
      <c r="R90" s="6" t="b">
        <f t="shared" si="6"/>
        <v>1</v>
      </c>
    </row>
    <row r="91" spans="2:18" x14ac:dyDescent="0.15">
      <c r="B91" s="2" t="s">
        <v>779</v>
      </c>
      <c r="C91" s="2" t="s">
        <v>970</v>
      </c>
      <c r="D91" s="2" t="s">
        <v>928</v>
      </c>
      <c r="E91" s="3">
        <v>41</v>
      </c>
      <c r="F91" s="38">
        <v>3</v>
      </c>
      <c r="G91" s="2">
        <v>10</v>
      </c>
      <c r="H91" s="2">
        <v>-2</v>
      </c>
      <c r="I91" s="3" t="str">
        <f t="shared" ref="I91" si="7">divideBaseNNumber(E91,F91,G91,H91)</f>
        <v>0</v>
      </c>
      <c r="J91" s="2" t="str">
        <f t="shared" ref="J91:J122" si="8">divideBaseNNumberRem(E91,F91,G91,H91)</f>
        <v>41</v>
      </c>
      <c r="K91" s="2"/>
      <c r="L91" s="2"/>
      <c r="M91" s="3" t="s">
        <v>14</v>
      </c>
      <c r="N91" s="2" t="s">
        <v>999</v>
      </c>
      <c r="O91" s="2"/>
      <c r="P91" s="2"/>
      <c r="Q91" s="3" t="b">
        <f t="shared" si="6"/>
        <v>1</v>
      </c>
      <c r="R91" s="2" t="b">
        <f t="shared" si="6"/>
        <v>1</v>
      </c>
    </row>
    <row r="92" spans="2:18" x14ac:dyDescent="0.15">
      <c r="B92" s="6"/>
      <c r="C92" s="6"/>
      <c r="D92" s="6" t="s">
        <v>193</v>
      </c>
      <c r="E92" s="1">
        <v>41</v>
      </c>
      <c r="F92" s="37">
        <v>3</v>
      </c>
      <c r="G92" s="6">
        <v>10</v>
      </c>
      <c r="H92" s="6">
        <v>-1</v>
      </c>
      <c r="I92" s="1" t="str">
        <f t="shared" ref="I92:I107" si="9">divideBaseNNumber(E92,F92,G92,H92)</f>
        <v>10</v>
      </c>
      <c r="J92" s="6" t="str">
        <f t="shared" si="8"/>
        <v>11</v>
      </c>
      <c r="K92" s="6"/>
      <c r="L92" s="6"/>
      <c r="M92" s="1" t="s">
        <v>15</v>
      </c>
      <c r="N92" s="6" t="s">
        <v>18</v>
      </c>
      <c r="O92" s="6"/>
      <c r="P92" s="6"/>
      <c r="Q92" s="1" t="b">
        <f t="shared" ref="Q92:R92" si="10">getText(I92)=getText(M92)</f>
        <v>1</v>
      </c>
      <c r="R92" s="6" t="b">
        <f t="shared" si="10"/>
        <v>1</v>
      </c>
    </row>
    <row r="93" spans="2:18" x14ac:dyDescent="0.15">
      <c r="B93" s="6"/>
      <c r="C93" s="6"/>
      <c r="D93" s="6" t="s">
        <v>76</v>
      </c>
      <c r="E93" s="1">
        <v>41</v>
      </c>
      <c r="F93" s="37">
        <v>3</v>
      </c>
      <c r="G93" s="6">
        <v>10</v>
      </c>
      <c r="H93" s="6">
        <v>0</v>
      </c>
      <c r="I93" s="1" t="str">
        <f t="shared" si="9"/>
        <v>13</v>
      </c>
      <c r="J93" s="6" t="str">
        <f t="shared" si="8"/>
        <v>2</v>
      </c>
      <c r="K93" s="6"/>
      <c r="L93" s="6"/>
      <c r="M93" s="1" t="s">
        <v>974</v>
      </c>
      <c r="N93" s="6" t="s">
        <v>290</v>
      </c>
      <c r="O93" s="6"/>
      <c r="P93" s="6"/>
      <c r="Q93" s="1" t="b">
        <f t="shared" si="6"/>
        <v>1</v>
      </c>
      <c r="R93" s="6" t="b">
        <f t="shared" si="6"/>
        <v>1</v>
      </c>
    </row>
    <row r="94" spans="2:18" x14ac:dyDescent="0.15">
      <c r="D94" t="s">
        <v>780</v>
      </c>
      <c r="E94" s="1">
        <v>41</v>
      </c>
      <c r="F94" s="37">
        <v>3</v>
      </c>
      <c r="G94">
        <v>10</v>
      </c>
      <c r="H94">
        <v>1</v>
      </c>
      <c r="I94" s="1" t="str">
        <f t="shared" si="9"/>
        <v>13.6</v>
      </c>
      <c r="J94" t="str">
        <f t="shared" si="8"/>
        <v>0.2</v>
      </c>
      <c r="M94" s="1" t="s">
        <v>978</v>
      </c>
      <c r="N94" t="s">
        <v>735</v>
      </c>
      <c r="Q94" s="1" t="b">
        <f t="shared" si="6"/>
        <v>1</v>
      </c>
      <c r="R94" s="6" t="b">
        <f t="shared" si="6"/>
        <v>1</v>
      </c>
    </row>
    <row r="95" spans="2:18" x14ac:dyDescent="0.15">
      <c r="D95" t="s">
        <v>781</v>
      </c>
      <c r="E95" s="1">
        <v>41</v>
      </c>
      <c r="F95" s="37">
        <v>3</v>
      </c>
      <c r="G95">
        <v>10</v>
      </c>
      <c r="H95">
        <v>2</v>
      </c>
      <c r="I95" s="1" t="str">
        <f t="shared" si="9"/>
        <v>13.66</v>
      </c>
      <c r="J95" t="str">
        <f t="shared" si="8"/>
        <v>0.02</v>
      </c>
      <c r="M95" s="1" t="s">
        <v>979</v>
      </c>
      <c r="N95" t="s">
        <v>1000</v>
      </c>
      <c r="Q95" s="1" t="b">
        <f t="shared" si="6"/>
        <v>1</v>
      </c>
      <c r="R95" s="6" t="b">
        <f t="shared" si="6"/>
        <v>1</v>
      </c>
    </row>
    <row r="96" spans="2:18" x14ac:dyDescent="0.15">
      <c r="D96" t="s">
        <v>782</v>
      </c>
      <c r="E96" s="1">
        <v>41</v>
      </c>
      <c r="F96" s="37">
        <v>3</v>
      </c>
      <c r="G96">
        <v>10</v>
      </c>
      <c r="H96">
        <v>255</v>
      </c>
      <c r="I96" s="1" t="str">
        <f t="shared" si="9"/>
        <v>13.666666666666666666666666666666666666666666666666666666666666666666666666666666666666666666666666666666666666666666666666666666666666666666666666666666666666666666666666666666666666666666666666666666666666666666666666666666666666666666666666666666666666666</v>
      </c>
      <c r="J96" t="str">
        <f t="shared" si="8"/>
        <v>0.000000000000000000000000000000000000000000000000000000000000000000000000000000000000000000000000000000000000000000000000000000000000000000000000000000000000000000000000000000000000000000000000000000000000000000000000000000000000000000000000000000000000002</v>
      </c>
      <c r="M96" s="1" t="s">
        <v>980</v>
      </c>
      <c r="N96" t="s">
        <v>1001</v>
      </c>
      <c r="Q96" s="1" t="b">
        <f t="shared" si="6"/>
        <v>1</v>
      </c>
      <c r="R96" s="6" t="b">
        <f t="shared" si="6"/>
        <v>1</v>
      </c>
    </row>
    <row r="97" spans="3:18" x14ac:dyDescent="0.15">
      <c r="D97" t="s">
        <v>1016</v>
      </c>
      <c r="E97" s="1">
        <v>1</v>
      </c>
      <c r="F97" s="37">
        <v>33</v>
      </c>
      <c r="G97">
        <v>10</v>
      </c>
      <c r="H97">
        <v>3</v>
      </c>
      <c r="I97" s="1" t="str">
        <f t="shared" ref="I97" si="11">divideBaseNNumber(E97,F97,G97,H97)</f>
        <v>0.030</v>
      </c>
      <c r="J97" t="str">
        <f t="shared" ref="J97" si="12">divideBaseNNumberRem(E97,F97,G97,H97)</f>
        <v>0.010</v>
      </c>
      <c r="M97" s="1" t="s">
        <v>1017</v>
      </c>
      <c r="N97" t="s">
        <v>1018</v>
      </c>
      <c r="Q97" s="1" t="b">
        <f t="shared" ref="Q97" si="13">getText(I97)=getText(M97)</f>
        <v>1</v>
      </c>
      <c r="R97" s="6" t="b">
        <f t="shared" ref="R97" si="14">getText(J97)=getText(N97)</f>
        <v>1</v>
      </c>
    </row>
    <row r="98" spans="3:18" x14ac:dyDescent="0.15">
      <c r="C98" s="2" t="s">
        <v>971</v>
      </c>
      <c r="D98" s="2" t="s">
        <v>193</v>
      </c>
      <c r="E98" s="3">
        <v>41</v>
      </c>
      <c r="F98" s="38">
        <v>0.3</v>
      </c>
      <c r="G98" s="2">
        <v>10</v>
      </c>
      <c r="H98" s="2">
        <v>-1</v>
      </c>
      <c r="I98" s="3" t="str">
        <f t="shared" si="9"/>
        <v>130</v>
      </c>
      <c r="J98" s="2" t="str">
        <f t="shared" si="8"/>
        <v>2</v>
      </c>
      <c r="K98" s="2"/>
      <c r="L98" s="2"/>
      <c r="M98" s="3" t="s">
        <v>981</v>
      </c>
      <c r="N98" s="2" t="s">
        <v>290</v>
      </c>
      <c r="O98" s="2"/>
      <c r="P98" s="2"/>
      <c r="Q98" s="3" t="b">
        <f t="shared" si="6"/>
        <v>1</v>
      </c>
      <c r="R98" s="2" t="b">
        <f t="shared" si="6"/>
        <v>1</v>
      </c>
    </row>
    <row r="99" spans="3:18" x14ac:dyDescent="0.15">
      <c r="D99" t="s">
        <v>76</v>
      </c>
      <c r="E99" s="1">
        <v>41</v>
      </c>
      <c r="F99" s="37">
        <v>0.3</v>
      </c>
      <c r="G99">
        <v>10</v>
      </c>
      <c r="H99" s="6">
        <v>0</v>
      </c>
      <c r="I99" s="1" t="str">
        <f t="shared" si="9"/>
        <v>136</v>
      </c>
      <c r="J99" t="str">
        <f t="shared" si="8"/>
        <v>0.2</v>
      </c>
      <c r="M99" s="1" t="s">
        <v>982</v>
      </c>
      <c r="N99" t="s">
        <v>735</v>
      </c>
      <c r="Q99" s="1" t="b">
        <f t="shared" si="6"/>
        <v>1</v>
      </c>
      <c r="R99" s="6" t="b">
        <f t="shared" si="6"/>
        <v>1</v>
      </c>
    </row>
    <row r="100" spans="3:18" x14ac:dyDescent="0.15">
      <c r="D100" t="s">
        <v>780</v>
      </c>
      <c r="E100" s="1">
        <v>41</v>
      </c>
      <c r="F100" s="37">
        <v>0.3</v>
      </c>
      <c r="G100">
        <v>10</v>
      </c>
      <c r="H100">
        <v>1</v>
      </c>
      <c r="I100" s="1" t="str">
        <f t="shared" si="9"/>
        <v>136.6</v>
      </c>
      <c r="J100" t="str">
        <f t="shared" si="8"/>
        <v>0.02</v>
      </c>
      <c r="M100" s="1" t="s">
        <v>983</v>
      </c>
      <c r="N100" t="s">
        <v>1000</v>
      </c>
      <c r="Q100" s="1" t="b">
        <f t="shared" si="6"/>
        <v>1</v>
      </c>
      <c r="R100" s="6" t="b">
        <f t="shared" si="6"/>
        <v>1</v>
      </c>
    </row>
    <row r="101" spans="3:18" x14ac:dyDescent="0.15">
      <c r="D101" t="s">
        <v>781</v>
      </c>
      <c r="E101" s="1">
        <v>41</v>
      </c>
      <c r="F101" s="37">
        <v>0.3</v>
      </c>
      <c r="G101">
        <v>10</v>
      </c>
      <c r="H101">
        <v>2</v>
      </c>
      <c r="I101" s="1" t="str">
        <f t="shared" si="9"/>
        <v>136.66</v>
      </c>
      <c r="J101" t="str">
        <f t="shared" si="8"/>
        <v>0.002</v>
      </c>
      <c r="M101" s="1" t="s">
        <v>984</v>
      </c>
      <c r="N101" t="s">
        <v>736</v>
      </c>
      <c r="Q101" s="1" t="b">
        <f t="shared" si="6"/>
        <v>1</v>
      </c>
      <c r="R101" s="6" t="b">
        <f t="shared" si="6"/>
        <v>1</v>
      </c>
    </row>
    <row r="102" spans="3:18" x14ac:dyDescent="0.15">
      <c r="D102" t="s">
        <v>782</v>
      </c>
      <c r="E102" s="1">
        <v>41</v>
      </c>
      <c r="F102" s="37">
        <v>0.3</v>
      </c>
      <c r="G102">
        <v>10</v>
      </c>
      <c r="H102">
        <v>255</v>
      </c>
      <c r="I102" s="1" t="str">
        <f t="shared" si="9"/>
        <v>136.666666666666666666666666666666666666666666666666666666666666666666666666666666666666666666666666666666666666666666666666666666666666666666666666666666666666666666666666666666666666666666666666666666666666666666666666666666666666666666666666666666666666666</v>
      </c>
      <c r="J102" t="str">
        <f t="shared" si="8"/>
        <v>0.0000000000000000000000000000000000000000000000000000000000000000000000000000000000000000000000000000000000000000000000000000000000000000000000000000000000000000000000000000000000000000000000000000000000000000000000000000000000000000000000000000000000000002</v>
      </c>
      <c r="M102" s="1" t="s">
        <v>985</v>
      </c>
      <c r="N102" t="s">
        <v>1003</v>
      </c>
      <c r="Q102" s="1" t="b">
        <f t="shared" si="6"/>
        <v>1</v>
      </c>
      <c r="R102" s="6" t="b">
        <f t="shared" si="6"/>
        <v>1</v>
      </c>
    </row>
    <row r="103" spans="3:18" x14ac:dyDescent="0.15">
      <c r="C103" s="2" t="s">
        <v>972</v>
      </c>
      <c r="D103" s="2" t="s">
        <v>193</v>
      </c>
      <c r="E103" s="3">
        <v>41</v>
      </c>
      <c r="F103" s="38">
        <v>0.33</v>
      </c>
      <c r="G103" s="2">
        <v>10</v>
      </c>
      <c r="H103" s="2">
        <v>-1</v>
      </c>
      <c r="I103" s="3" t="str">
        <f t="shared" si="9"/>
        <v>120</v>
      </c>
      <c r="J103" s="2" t="str">
        <f>divideBaseNNumberRem(E103,F103,G103,H103)</f>
        <v>1.4</v>
      </c>
      <c r="K103" s="2"/>
      <c r="L103" s="2"/>
      <c r="M103" s="3" t="s">
        <v>986</v>
      </c>
      <c r="N103" s="2" t="s">
        <v>1004</v>
      </c>
      <c r="O103" s="2"/>
      <c r="P103" s="2"/>
      <c r="Q103" s="3" t="b">
        <f t="shared" si="6"/>
        <v>1</v>
      </c>
      <c r="R103" s="2" t="b">
        <f t="shared" si="6"/>
        <v>1</v>
      </c>
    </row>
    <row r="104" spans="3:18" x14ac:dyDescent="0.15">
      <c r="C104" s="6"/>
      <c r="D104" t="s">
        <v>76</v>
      </c>
      <c r="E104" s="1">
        <v>41</v>
      </c>
      <c r="F104" s="37">
        <v>0.33</v>
      </c>
      <c r="G104" s="6">
        <v>10</v>
      </c>
      <c r="H104" s="6">
        <v>0</v>
      </c>
      <c r="I104" s="1" t="str">
        <f t="shared" si="9"/>
        <v>124</v>
      </c>
      <c r="J104" s="6" t="str">
        <f t="shared" si="8"/>
        <v>0.08</v>
      </c>
      <c r="K104" s="6"/>
      <c r="L104" s="6"/>
      <c r="M104" s="1" t="s">
        <v>944</v>
      </c>
      <c r="N104" s="6" t="s">
        <v>808</v>
      </c>
      <c r="O104" s="6"/>
      <c r="P104" s="6"/>
      <c r="Q104" s="1" t="b">
        <f t="shared" si="6"/>
        <v>1</v>
      </c>
      <c r="R104" s="6" t="b">
        <f t="shared" si="6"/>
        <v>1</v>
      </c>
    </row>
    <row r="105" spans="3:18" x14ac:dyDescent="0.15">
      <c r="D105" t="s">
        <v>780</v>
      </c>
      <c r="E105" s="1">
        <v>41</v>
      </c>
      <c r="F105" s="37">
        <v>0.33</v>
      </c>
      <c r="G105">
        <v>10</v>
      </c>
      <c r="H105">
        <v>1</v>
      </c>
      <c r="I105" s="1" t="str">
        <f t="shared" si="9"/>
        <v>124.2</v>
      </c>
      <c r="J105" t="str">
        <f t="shared" si="8"/>
        <v>0.014</v>
      </c>
      <c r="M105" s="1" t="s">
        <v>987</v>
      </c>
      <c r="N105" t="s">
        <v>1005</v>
      </c>
      <c r="Q105" s="1" t="b">
        <f t="shared" si="6"/>
        <v>1</v>
      </c>
      <c r="R105" s="6" t="b">
        <f t="shared" si="6"/>
        <v>1</v>
      </c>
    </row>
    <row r="106" spans="3:18" x14ac:dyDescent="0.15">
      <c r="D106" t="s">
        <v>781</v>
      </c>
      <c r="E106" s="1">
        <v>41</v>
      </c>
      <c r="F106" s="37">
        <v>0.33</v>
      </c>
      <c r="G106">
        <v>10</v>
      </c>
      <c r="H106">
        <v>2</v>
      </c>
      <c r="I106" s="1" t="str">
        <f t="shared" si="9"/>
        <v>124.24</v>
      </c>
      <c r="J106" t="str">
        <f t="shared" si="8"/>
        <v>0.0008</v>
      </c>
      <c r="M106" s="1" t="s">
        <v>988</v>
      </c>
      <c r="N106" t="s">
        <v>1007</v>
      </c>
      <c r="Q106" s="1" t="b">
        <f t="shared" si="6"/>
        <v>1</v>
      </c>
      <c r="R106" s="6" t="b">
        <f t="shared" si="6"/>
        <v>1</v>
      </c>
    </row>
    <row r="107" spans="3:18" x14ac:dyDescent="0.15">
      <c r="D107" t="s">
        <v>782</v>
      </c>
      <c r="E107" s="1">
        <v>41</v>
      </c>
      <c r="F107" s="37">
        <v>0.33</v>
      </c>
      <c r="G107">
        <v>10</v>
      </c>
      <c r="H107">
        <v>255</v>
      </c>
      <c r="I107" s="1" t="str">
        <f t="shared" si="9"/>
        <v>124.242424242424242424242424242424242424242424242424242424242424242424242424242424242424242424242424242424242424242424242424242424242424242424242424242424242424242424242424242424242424242424242424242424242424242424242424242424242424242424242424242424242424242</v>
      </c>
      <c r="J107" t="str">
        <f t="shared" si="8"/>
        <v>0.00000000000000000000000000000000000000000000000000000000000000000000000000000000000000000000000000000000000000000000000000000000000000000000000000000000000000000000000000000000000000000000000000000000000000000000000000000000000000000000000000000000000000014</v>
      </c>
      <c r="M107" s="1" t="s">
        <v>989</v>
      </c>
      <c r="N107" t="s">
        <v>1006</v>
      </c>
      <c r="Q107" s="1" t="b">
        <f t="shared" si="6"/>
        <v>1</v>
      </c>
      <c r="R107" s="6" t="b">
        <f t="shared" si="6"/>
        <v>1</v>
      </c>
    </row>
    <row r="108" spans="3:18" x14ac:dyDescent="0.15">
      <c r="C108" s="2" t="s">
        <v>973</v>
      </c>
      <c r="D108" s="2" t="s">
        <v>193</v>
      </c>
      <c r="E108" s="3">
        <v>41.234000000000002</v>
      </c>
      <c r="F108" s="38">
        <v>3</v>
      </c>
      <c r="G108" s="2">
        <v>10</v>
      </c>
      <c r="H108" s="2">
        <v>-1</v>
      </c>
      <c r="I108" s="3" t="str">
        <f>divideBaseNNumber(E108,F108,G108,H108)</f>
        <v>10</v>
      </c>
      <c r="J108" s="2" t="str">
        <f t="shared" si="8"/>
        <v>11.234</v>
      </c>
      <c r="K108" s="2"/>
      <c r="L108" s="2"/>
      <c r="M108" s="3" t="s">
        <v>15</v>
      </c>
      <c r="N108" s="2" t="s">
        <v>1008</v>
      </c>
      <c r="O108" s="2"/>
      <c r="P108" s="2"/>
      <c r="Q108" s="3" t="b">
        <f t="shared" si="6"/>
        <v>1</v>
      </c>
      <c r="R108" s="2" t="b">
        <f t="shared" si="6"/>
        <v>1</v>
      </c>
    </row>
    <row r="109" spans="3:18" x14ac:dyDescent="0.15">
      <c r="C109" s="6"/>
      <c r="D109" s="6" t="s">
        <v>76</v>
      </c>
      <c r="E109" s="1">
        <v>41.234000000000002</v>
      </c>
      <c r="F109" s="37">
        <v>3</v>
      </c>
      <c r="G109" s="6">
        <v>10</v>
      </c>
      <c r="H109" s="6">
        <v>0</v>
      </c>
      <c r="I109" s="1" t="str">
        <f>divideBaseNNumber(E109,F109,G109,H109)</f>
        <v>13</v>
      </c>
      <c r="J109" s="6" t="str">
        <f t="shared" si="8"/>
        <v>2.234</v>
      </c>
      <c r="K109" s="6"/>
      <c r="L109" s="6"/>
      <c r="M109" s="1" t="s">
        <v>974</v>
      </c>
      <c r="N109" s="6" t="s">
        <v>1009</v>
      </c>
      <c r="O109" s="6"/>
      <c r="P109" s="6"/>
      <c r="Q109" s="1" t="b">
        <f t="shared" ref="Q109:R113" si="15">getText(I109)=getText(M109)</f>
        <v>1</v>
      </c>
      <c r="R109" s="6" t="b">
        <f t="shared" si="15"/>
        <v>1</v>
      </c>
    </row>
    <row r="110" spans="3:18" x14ac:dyDescent="0.15">
      <c r="D110" t="s">
        <v>780</v>
      </c>
      <c r="E110" s="1">
        <v>41.234000000000002</v>
      </c>
      <c r="F110" s="37">
        <v>3</v>
      </c>
      <c r="G110">
        <v>10</v>
      </c>
      <c r="H110">
        <v>1</v>
      </c>
      <c r="I110" s="1" t="str">
        <f t="shared" ref="I110:I112" si="16">divideBaseNNumber(E110,F110,G110,H110)</f>
        <v>13.7</v>
      </c>
      <c r="J110" t="str">
        <f t="shared" si="8"/>
        <v>0.134</v>
      </c>
      <c r="M110" s="1" t="s">
        <v>975</v>
      </c>
      <c r="N110" t="s">
        <v>1010</v>
      </c>
      <c r="Q110" s="1" t="b">
        <f t="shared" si="15"/>
        <v>1</v>
      </c>
      <c r="R110" s="6" t="b">
        <f t="shared" si="15"/>
        <v>1</v>
      </c>
    </row>
    <row r="111" spans="3:18" x14ac:dyDescent="0.15">
      <c r="D111" t="s">
        <v>781</v>
      </c>
      <c r="E111" s="1">
        <v>41.234000000000002</v>
      </c>
      <c r="F111" s="37">
        <v>3</v>
      </c>
      <c r="G111">
        <v>10</v>
      </c>
      <c r="H111">
        <v>2</v>
      </c>
      <c r="I111" s="1" t="str">
        <f t="shared" si="16"/>
        <v>13.74</v>
      </c>
      <c r="J111" t="str">
        <f t="shared" si="8"/>
        <v>0.014</v>
      </c>
      <c r="M111" s="1" t="s">
        <v>976</v>
      </c>
      <c r="N111" t="s">
        <v>1005</v>
      </c>
      <c r="Q111" s="1" t="b">
        <f t="shared" si="15"/>
        <v>1</v>
      </c>
      <c r="R111" s="6" t="b">
        <f t="shared" si="15"/>
        <v>1</v>
      </c>
    </row>
    <row r="112" spans="3:18" x14ac:dyDescent="0.15">
      <c r="D112" t="s">
        <v>782</v>
      </c>
      <c r="E112" s="1">
        <v>41.234000000000002</v>
      </c>
      <c r="F112" s="37">
        <v>3</v>
      </c>
      <c r="G112">
        <v>10</v>
      </c>
      <c r="H112">
        <v>255</v>
      </c>
      <c r="I112" s="1" t="str">
        <f t="shared" si="16"/>
        <v>13.744666666666666666666666666666666666666666666666666666666666666666666666666666666666666666666666666666666666666666666666666666666666666666666666666666666666666666666666666666666666666666666666666666666666666666666666666666666666666666666666666666666666666</v>
      </c>
      <c r="J112" t="str">
        <f t="shared" si="8"/>
        <v>0.000000000000000000000000000000000000000000000000000000000000000000000000000000000000000000000000000000000000000000000000000000000000000000000000000000000000000000000000000000000000000000000000000000000000000000000000000000000000000000000000000000000000002</v>
      </c>
      <c r="M112" s="1" t="s">
        <v>977</v>
      </c>
      <c r="N112" t="s">
        <v>1001</v>
      </c>
      <c r="Q112" s="1" t="b">
        <f t="shared" si="15"/>
        <v>1</v>
      </c>
      <c r="R112" s="6" t="b">
        <f t="shared" si="15"/>
        <v>1</v>
      </c>
    </row>
    <row r="113" spans="1:18" x14ac:dyDescent="0.15">
      <c r="C113" s="2" t="s">
        <v>990</v>
      </c>
      <c r="D113" s="2" t="s">
        <v>193</v>
      </c>
      <c r="E113" s="3">
        <v>41.234000000000002</v>
      </c>
      <c r="F113" s="38">
        <v>0.3</v>
      </c>
      <c r="G113" s="2">
        <v>10</v>
      </c>
      <c r="H113" s="2">
        <v>-1</v>
      </c>
      <c r="I113" s="3" t="str">
        <f>divideBaseNNumber(E113,F113,G113,H113)</f>
        <v>130</v>
      </c>
      <c r="J113" s="2" t="str">
        <f t="shared" si="8"/>
        <v>2.234</v>
      </c>
      <c r="K113" s="2"/>
      <c r="L113" s="2"/>
      <c r="M113" s="3" t="s">
        <v>981</v>
      </c>
      <c r="N113" s="2" t="s">
        <v>1009</v>
      </c>
      <c r="O113" s="2"/>
      <c r="P113" s="2"/>
      <c r="Q113" s="3" t="b">
        <f t="shared" si="15"/>
        <v>1</v>
      </c>
      <c r="R113" s="2" t="b">
        <f t="shared" si="15"/>
        <v>1</v>
      </c>
    </row>
    <row r="114" spans="1:18" x14ac:dyDescent="0.15">
      <c r="C114" s="6"/>
      <c r="D114" s="6" t="s">
        <v>76</v>
      </c>
      <c r="E114" s="1">
        <v>41.234000000000002</v>
      </c>
      <c r="F114" s="37">
        <v>0.3</v>
      </c>
      <c r="G114" s="6">
        <v>10</v>
      </c>
      <c r="H114" s="6">
        <v>0</v>
      </c>
      <c r="I114" s="1" t="str">
        <f>divideBaseNNumber(E114,F114,G114,H114)</f>
        <v>137</v>
      </c>
      <c r="J114" s="6" t="str">
        <f t="shared" si="8"/>
        <v>0.134</v>
      </c>
      <c r="K114" s="6"/>
      <c r="L114" s="6"/>
      <c r="M114" s="1" t="s">
        <v>991</v>
      </c>
      <c r="N114" s="6" t="s">
        <v>1010</v>
      </c>
      <c r="O114" s="6"/>
      <c r="P114" s="6"/>
      <c r="Q114" s="1" t="b">
        <f t="shared" ref="Q114:R118" si="17">getText(I114)=getText(M114)</f>
        <v>1</v>
      </c>
      <c r="R114" s="6" t="b">
        <f t="shared" si="17"/>
        <v>1</v>
      </c>
    </row>
    <row r="115" spans="1:18" x14ac:dyDescent="0.15">
      <c r="D115" t="s">
        <v>780</v>
      </c>
      <c r="E115" s="1">
        <v>41.234000000000002</v>
      </c>
      <c r="F115" s="37">
        <v>0.3</v>
      </c>
      <c r="G115">
        <v>10</v>
      </c>
      <c r="H115">
        <v>1</v>
      </c>
      <c r="I115" s="1" t="str">
        <f t="shared" ref="I115:I117" si="18">divideBaseNNumber(E115,F115,G115,H115)</f>
        <v>137.4</v>
      </c>
      <c r="J115" t="str">
        <f t="shared" si="8"/>
        <v>0.014</v>
      </c>
      <c r="M115" s="1" t="s">
        <v>992</v>
      </c>
      <c r="N115" t="s">
        <v>1005</v>
      </c>
      <c r="Q115" s="1" t="b">
        <f t="shared" si="17"/>
        <v>1</v>
      </c>
      <c r="R115" s="6" t="b">
        <f t="shared" si="17"/>
        <v>1</v>
      </c>
    </row>
    <row r="116" spans="1:18" x14ac:dyDescent="0.15">
      <c r="D116" t="s">
        <v>781</v>
      </c>
      <c r="E116" s="1">
        <v>41.234000000000002</v>
      </c>
      <c r="F116" s="37">
        <v>0.3</v>
      </c>
      <c r="G116">
        <v>10</v>
      </c>
      <c r="H116">
        <v>2</v>
      </c>
      <c r="I116" s="1" t="str">
        <f t="shared" si="18"/>
        <v>137.44</v>
      </c>
      <c r="J116" t="str">
        <f t="shared" si="8"/>
        <v>0.002</v>
      </c>
      <c r="M116" s="1" t="s">
        <v>993</v>
      </c>
      <c r="N116" t="s">
        <v>736</v>
      </c>
      <c r="Q116" s="1" t="b">
        <f t="shared" si="17"/>
        <v>1</v>
      </c>
      <c r="R116" s="6" t="b">
        <f t="shared" si="17"/>
        <v>1</v>
      </c>
    </row>
    <row r="117" spans="1:18" x14ac:dyDescent="0.15">
      <c r="D117" t="s">
        <v>782</v>
      </c>
      <c r="E117" s="1">
        <v>41.234000000000002</v>
      </c>
      <c r="F117" s="37">
        <v>0.3</v>
      </c>
      <c r="G117">
        <v>10</v>
      </c>
      <c r="H117">
        <v>255</v>
      </c>
      <c r="I117" s="1" t="str">
        <f t="shared" si="18"/>
        <v>137.446666666666666666666666666666666666666666666666666666666666666666666666666666666666666666666666666666666666666666666666666666666666666666666666666666666666666666666666666666666666666666666666666666666666666666666666666666666666666666666666666666666666666</v>
      </c>
      <c r="J117" t="str">
        <f t="shared" si="8"/>
        <v>0.0000000000000000000000000000000000000000000000000000000000000000000000000000000000000000000000000000000000000000000000000000000000000000000000000000000000000000000000000000000000000000000000000000000000000000000000000000000000000000000000000000000000000002</v>
      </c>
      <c r="M117" s="1" t="s">
        <v>994</v>
      </c>
      <c r="N117" t="s">
        <v>1003</v>
      </c>
      <c r="Q117" s="1" t="b">
        <f t="shared" si="17"/>
        <v>1</v>
      </c>
      <c r="R117" s="6" t="b">
        <f t="shared" si="17"/>
        <v>1</v>
      </c>
    </row>
    <row r="118" spans="1:18" x14ac:dyDescent="0.15">
      <c r="C118" s="2" t="s">
        <v>995</v>
      </c>
      <c r="D118" s="2" t="s">
        <v>193</v>
      </c>
      <c r="E118" s="3">
        <v>41.234000000000002</v>
      </c>
      <c r="F118" s="38">
        <v>0.33</v>
      </c>
      <c r="G118" s="2">
        <v>10</v>
      </c>
      <c r="H118" s="2">
        <v>-1</v>
      </c>
      <c r="I118" s="3" t="str">
        <f>divideBaseNNumber(E118,F118,G118,H118)</f>
        <v>120</v>
      </c>
      <c r="J118" s="2" t="str">
        <f t="shared" si="8"/>
        <v>1.634</v>
      </c>
      <c r="K118" s="2"/>
      <c r="L118" s="2"/>
      <c r="M118" s="3" t="s">
        <v>986</v>
      </c>
      <c r="N118" s="2" t="s">
        <v>1011</v>
      </c>
      <c r="O118" s="2"/>
      <c r="P118" s="2"/>
      <c r="Q118" s="3" t="b">
        <f t="shared" si="17"/>
        <v>1</v>
      </c>
      <c r="R118" s="2" t="b">
        <f t="shared" si="17"/>
        <v>1</v>
      </c>
    </row>
    <row r="119" spans="1:18" x14ac:dyDescent="0.15">
      <c r="C119" s="6"/>
      <c r="D119" s="6" t="s">
        <v>76</v>
      </c>
      <c r="E119" s="1">
        <v>41.234000000000002</v>
      </c>
      <c r="F119" s="37">
        <v>0.33</v>
      </c>
      <c r="G119" s="6">
        <v>10</v>
      </c>
      <c r="H119" s="6">
        <v>0</v>
      </c>
      <c r="I119" s="1" t="str">
        <f>divideBaseNNumber(E119,F119,G119,H119)</f>
        <v>124</v>
      </c>
      <c r="J119" s="6" t="str">
        <f t="shared" si="8"/>
        <v>0.314</v>
      </c>
      <c r="K119" s="6"/>
      <c r="L119" s="6"/>
      <c r="M119" s="1" t="s">
        <v>944</v>
      </c>
      <c r="N119" s="6" t="s">
        <v>1012</v>
      </c>
      <c r="O119" s="6"/>
      <c r="P119" s="6"/>
      <c r="Q119" s="1" t="b">
        <f t="shared" ref="Q119:R122" si="19">getText(I119)=getText(M119)</f>
        <v>1</v>
      </c>
      <c r="R119" s="6" t="b">
        <f t="shared" si="19"/>
        <v>1</v>
      </c>
    </row>
    <row r="120" spans="1:18" x14ac:dyDescent="0.15">
      <c r="D120" t="s">
        <v>780</v>
      </c>
      <c r="E120" s="1">
        <v>41.234000000000002</v>
      </c>
      <c r="F120" s="37">
        <v>0.33</v>
      </c>
      <c r="G120">
        <v>10</v>
      </c>
      <c r="H120">
        <v>1</v>
      </c>
      <c r="I120" s="1" t="str">
        <f t="shared" ref="I120:I122" si="20">divideBaseNNumber(E120,F120,G120,H120)</f>
        <v>124.9</v>
      </c>
      <c r="J120" t="str">
        <f t="shared" si="8"/>
        <v>0.017</v>
      </c>
      <c r="M120" s="1" t="s">
        <v>996</v>
      </c>
      <c r="N120" t="s">
        <v>1013</v>
      </c>
      <c r="Q120" s="1" t="b">
        <f t="shared" si="19"/>
        <v>1</v>
      </c>
      <c r="R120" s="6" t="b">
        <f t="shared" si="19"/>
        <v>1</v>
      </c>
    </row>
    <row r="121" spans="1:18" x14ac:dyDescent="0.15">
      <c r="D121" t="s">
        <v>781</v>
      </c>
      <c r="E121" s="1">
        <v>41.234000000000002</v>
      </c>
      <c r="F121" s="37">
        <v>0.33</v>
      </c>
      <c r="G121">
        <v>10</v>
      </c>
      <c r="H121">
        <v>2</v>
      </c>
      <c r="I121" s="1" t="str">
        <f t="shared" si="20"/>
        <v>124.95</v>
      </c>
      <c r="J121" t="str">
        <f t="shared" si="8"/>
        <v>0.0005</v>
      </c>
      <c r="M121" s="1" t="s">
        <v>997</v>
      </c>
      <c r="N121" t="s">
        <v>1014</v>
      </c>
      <c r="Q121" s="1" t="b">
        <f t="shared" si="19"/>
        <v>1</v>
      </c>
      <c r="R121" s="6" t="b">
        <f t="shared" si="19"/>
        <v>1</v>
      </c>
    </row>
    <row r="122" spans="1:18" x14ac:dyDescent="0.15">
      <c r="D122" t="s">
        <v>782</v>
      </c>
      <c r="E122" s="1">
        <v>41.234000000000002</v>
      </c>
      <c r="F122" s="37">
        <v>0.33</v>
      </c>
      <c r="G122">
        <v>10</v>
      </c>
      <c r="H122">
        <v>255</v>
      </c>
      <c r="I122" s="1" t="str">
        <f t="shared" si="20"/>
        <v>124.951515151515151515151515151515151515151515151515151515151515151515151515151515151515151515151515151515151515151515151515151515151515151515151515151515151515151515151515151515151515151515151515151515151515151515151515151515151515151515151515151515151515151</v>
      </c>
      <c r="J122" t="str">
        <f t="shared" si="8"/>
        <v>0.00000000000000000000000000000000000000000000000000000000000000000000000000000000000000000000000000000000000000000000000000000000000000000000000000000000000000000000000000000000000000000000000000000000000000000000000000000000000000000000000000000000000000017</v>
      </c>
      <c r="M122" s="1" t="s">
        <v>998</v>
      </c>
      <c r="N122" t="s">
        <v>1015</v>
      </c>
      <c r="Q122" s="1" t="b">
        <f t="shared" si="19"/>
        <v>1</v>
      </c>
      <c r="R122" s="6" t="b">
        <f t="shared" si="19"/>
        <v>1</v>
      </c>
    </row>
    <row r="123" spans="1:18" x14ac:dyDescent="0.15">
      <c r="A123" s="2" t="s">
        <v>903</v>
      </c>
      <c r="B123" s="2" t="s">
        <v>783</v>
      </c>
      <c r="C123" s="2"/>
      <c r="D123" s="2" t="s">
        <v>622</v>
      </c>
      <c r="E123" s="3">
        <v>15</v>
      </c>
      <c r="F123" s="38">
        <v>10</v>
      </c>
      <c r="G123" s="2">
        <v>1</v>
      </c>
      <c r="H123" s="2">
        <v>15</v>
      </c>
      <c r="I123" s="3" t="e">
        <f t="shared" ref="I123:I139" si="21">convRadix(E123,F123,G123,H123)</f>
        <v>#NUM!</v>
      </c>
      <c r="J123" s="2"/>
      <c r="K123" s="2"/>
      <c r="L123" s="2"/>
      <c r="M123" s="3" t="e">
        <v>#NUM!</v>
      </c>
      <c r="N123" s="2"/>
      <c r="O123" s="2"/>
      <c r="P123" s="2"/>
      <c r="Q123" s="3" t="b">
        <f t="shared" si="6"/>
        <v>1</v>
      </c>
    </row>
    <row r="124" spans="1:18" x14ac:dyDescent="0.15">
      <c r="D124" s="7" t="s">
        <v>784</v>
      </c>
      <c r="E124" s="8" t="s">
        <v>786</v>
      </c>
      <c r="F124" s="37">
        <v>10</v>
      </c>
      <c r="G124" s="7">
        <v>16</v>
      </c>
      <c r="H124" s="7">
        <v>15</v>
      </c>
      <c r="I124" s="1" t="e">
        <f t="shared" si="21"/>
        <v>#NUM!</v>
      </c>
      <c r="M124" s="1" t="e">
        <v>#NUM!</v>
      </c>
      <c r="Q124" s="1" t="b">
        <f t="shared" si="6"/>
        <v>1</v>
      </c>
    </row>
    <row r="125" spans="1:18" x14ac:dyDescent="0.15">
      <c r="D125" s="7" t="s">
        <v>785</v>
      </c>
      <c r="F125" s="37">
        <v>10</v>
      </c>
      <c r="G125" s="7">
        <v>16</v>
      </c>
      <c r="H125" s="7">
        <v>15</v>
      </c>
      <c r="I125" s="1" t="e">
        <f t="shared" si="21"/>
        <v>#NULL!</v>
      </c>
      <c r="M125" s="1" t="e">
        <v>#NULL!</v>
      </c>
      <c r="Q125" s="1" t="b">
        <f t="shared" si="6"/>
        <v>1</v>
      </c>
    </row>
    <row r="126" spans="1:18" x14ac:dyDescent="0.15">
      <c r="B126" s="2" t="s">
        <v>787</v>
      </c>
      <c r="C126" s="2"/>
      <c r="D126" s="2" t="s">
        <v>788</v>
      </c>
      <c r="E126" s="3">
        <v>9</v>
      </c>
      <c r="F126" s="38">
        <v>10</v>
      </c>
      <c r="G126" s="2">
        <v>1</v>
      </c>
      <c r="H126" s="2">
        <v>15</v>
      </c>
      <c r="I126" s="3" t="e">
        <f t="shared" si="21"/>
        <v>#NUM!</v>
      </c>
      <c r="J126" s="2"/>
      <c r="K126" s="2"/>
      <c r="L126" s="2"/>
      <c r="M126" s="3" t="e">
        <v>#NUM!</v>
      </c>
      <c r="N126" s="2"/>
      <c r="O126" s="2"/>
      <c r="P126" s="2"/>
      <c r="Q126" s="3" t="b">
        <f t="shared" si="6"/>
        <v>1</v>
      </c>
    </row>
    <row r="127" spans="1:18" x14ac:dyDescent="0.15">
      <c r="D127" s="7" t="s">
        <v>789</v>
      </c>
      <c r="E127" s="1">
        <v>9</v>
      </c>
      <c r="F127" s="37">
        <v>10</v>
      </c>
      <c r="G127" s="7">
        <v>2</v>
      </c>
      <c r="H127">
        <v>15</v>
      </c>
      <c r="I127" s="1" t="str">
        <f t="shared" si="21"/>
        <v>1001</v>
      </c>
      <c r="M127" s="1" t="s">
        <v>384</v>
      </c>
      <c r="Q127" s="1" t="b">
        <f t="shared" si="6"/>
        <v>1</v>
      </c>
    </row>
    <row r="128" spans="1:18" x14ac:dyDescent="0.15">
      <c r="D128" s="7" t="s">
        <v>790</v>
      </c>
      <c r="E128" s="1">
        <v>9</v>
      </c>
      <c r="F128" s="37">
        <v>10</v>
      </c>
      <c r="G128" s="7">
        <v>8</v>
      </c>
      <c r="H128">
        <v>15</v>
      </c>
      <c r="I128" s="1" t="str">
        <f t="shared" si="21"/>
        <v>11</v>
      </c>
      <c r="M128" s="1" t="s">
        <v>18</v>
      </c>
      <c r="Q128" s="1" t="b">
        <f t="shared" si="6"/>
        <v>1</v>
      </c>
    </row>
    <row r="129" spans="1:17" x14ac:dyDescent="0.15">
      <c r="D129" s="7" t="s">
        <v>791</v>
      </c>
      <c r="E129" s="1">
        <v>9</v>
      </c>
      <c r="F129" s="37">
        <v>10</v>
      </c>
      <c r="G129" s="7">
        <v>16</v>
      </c>
      <c r="H129">
        <v>15</v>
      </c>
      <c r="I129" s="1" t="str">
        <f t="shared" si="21"/>
        <v>9</v>
      </c>
      <c r="M129" s="1" t="s">
        <v>100</v>
      </c>
      <c r="Q129" s="1" t="b">
        <f t="shared" si="6"/>
        <v>1</v>
      </c>
    </row>
    <row r="130" spans="1:17" x14ac:dyDescent="0.15">
      <c r="D130" s="7" t="s">
        <v>792</v>
      </c>
      <c r="E130" s="1">
        <v>9</v>
      </c>
      <c r="F130" s="37">
        <v>10</v>
      </c>
      <c r="G130" s="7">
        <v>17</v>
      </c>
      <c r="H130">
        <v>15</v>
      </c>
      <c r="I130" s="1" t="e">
        <f t="shared" si="21"/>
        <v>#NUM!</v>
      </c>
      <c r="M130" s="1" t="e">
        <v>#NUM!</v>
      </c>
      <c r="Q130" s="1" t="b">
        <f t="shared" si="6"/>
        <v>1</v>
      </c>
    </row>
    <row r="131" spans="1:17" x14ac:dyDescent="0.15">
      <c r="B131" s="2" t="s">
        <v>793</v>
      </c>
      <c r="C131" s="2" t="s">
        <v>796</v>
      </c>
      <c r="D131" s="2" t="s">
        <v>809</v>
      </c>
      <c r="E131" s="11" t="s">
        <v>811</v>
      </c>
      <c r="F131" s="38">
        <v>10</v>
      </c>
      <c r="G131" s="2">
        <v>16</v>
      </c>
      <c r="H131" s="2">
        <v>15</v>
      </c>
      <c r="I131" s="3" t="str">
        <f t="shared" si="21"/>
        <v>0</v>
      </c>
      <c r="J131" s="2"/>
      <c r="K131" s="2"/>
      <c r="L131" s="2"/>
      <c r="M131" s="3" t="s">
        <v>14</v>
      </c>
      <c r="N131" s="2"/>
      <c r="O131" s="2"/>
      <c r="P131" s="2"/>
      <c r="Q131" s="3" t="b">
        <f t="shared" si="6"/>
        <v>1</v>
      </c>
    </row>
    <row r="132" spans="1:17" x14ac:dyDescent="0.15">
      <c r="B132" s="6"/>
      <c r="C132" s="6"/>
      <c r="D132" s="27" t="s">
        <v>799</v>
      </c>
      <c r="E132" s="9" t="s">
        <v>810</v>
      </c>
      <c r="F132" s="37">
        <v>10</v>
      </c>
      <c r="G132" s="6">
        <v>16</v>
      </c>
      <c r="H132" s="6">
        <v>15</v>
      </c>
      <c r="I132" s="1" t="str">
        <f t="shared" si="21"/>
        <v>0</v>
      </c>
      <c r="J132" s="6"/>
      <c r="K132" s="6"/>
      <c r="L132" s="6"/>
      <c r="M132" s="1" t="s">
        <v>14</v>
      </c>
      <c r="N132" s="6"/>
      <c r="O132" s="6"/>
      <c r="P132" s="6"/>
      <c r="Q132" s="1" t="b">
        <f t="shared" si="6"/>
        <v>1</v>
      </c>
    </row>
    <row r="133" spans="1:17" x14ac:dyDescent="0.15">
      <c r="D133" s="7" t="s">
        <v>794</v>
      </c>
      <c r="E133" s="9" t="s">
        <v>805</v>
      </c>
      <c r="F133" s="37">
        <v>10</v>
      </c>
      <c r="G133">
        <v>16</v>
      </c>
      <c r="H133">
        <v>15</v>
      </c>
      <c r="I133" s="1" t="str">
        <f t="shared" si="21"/>
        <v>0.1</v>
      </c>
      <c r="M133" s="1" t="s">
        <v>718</v>
      </c>
      <c r="Q133" s="1" t="b">
        <f t="shared" si="6"/>
        <v>1</v>
      </c>
    </row>
    <row r="134" spans="1:17" x14ac:dyDescent="0.15">
      <c r="D134" s="7" t="s">
        <v>795</v>
      </c>
      <c r="E134" s="9" t="s">
        <v>807</v>
      </c>
      <c r="F134" s="37">
        <v>10</v>
      </c>
      <c r="G134">
        <v>16</v>
      </c>
      <c r="H134">
        <v>15</v>
      </c>
      <c r="I134" s="1" t="str">
        <f t="shared" si="21"/>
        <v>0.08</v>
      </c>
      <c r="M134" s="1" t="s">
        <v>808</v>
      </c>
      <c r="Q134" s="1" t="b">
        <f t="shared" si="6"/>
        <v>1</v>
      </c>
    </row>
    <row r="135" spans="1:17" x14ac:dyDescent="0.15">
      <c r="D135" s="7" t="s">
        <v>797</v>
      </c>
      <c r="E135" s="9" t="s">
        <v>806</v>
      </c>
      <c r="F135" s="37">
        <v>10</v>
      </c>
      <c r="G135">
        <v>16</v>
      </c>
      <c r="H135">
        <v>2</v>
      </c>
      <c r="I135" s="1" t="str">
        <f t="shared" si="21"/>
        <v>0.08</v>
      </c>
      <c r="M135" s="1" t="s">
        <v>808</v>
      </c>
      <c r="Q135" s="1" t="b">
        <f t="shared" si="6"/>
        <v>1</v>
      </c>
    </row>
    <row r="136" spans="1:17" x14ac:dyDescent="0.15">
      <c r="C136" s="2" t="s">
        <v>798</v>
      </c>
      <c r="D136" s="24" t="s">
        <v>799</v>
      </c>
      <c r="E136" s="11" t="s">
        <v>812</v>
      </c>
      <c r="F136" s="38">
        <v>10</v>
      </c>
      <c r="G136" s="2">
        <v>16</v>
      </c>
      <c r="H136" s="2">
        <v>0</v>
      </c>
      <c r="I136" s="3" t="str">
        <f t="shared" si="21"/>
        <v>0</v>
      </c>
      <c r="J136" s="2"/>
      <c r="K136" s="2"/>
      <c r="L136" s="2"/>
      <c r="M136" s="3" t="s">
        <v>14</v>
      </c>
      <c r="N136" s="2"/>
      <c r="O136" s="2"/>
      <c r="P136" s="2"/>
      <c r="Q136" s="3" t="b">
        <f t="shared" si="6"/>
        <v>1</v>
      </c>
    </row>
    <row r="137" spans="1:17" x14ac:dyDescent="0.15">
      <c r="D137" t="s">
        <v>800</v>
      </c>
      <c r="E137" s="9" t="s">
        <v>718</v>
      </c>
      <c r="F137" s="37">
        <v>10</v>
      </c>
      <c r="G137">
        <v>16</v>
      </c>
      <c r="H137" s="7">
        <v>1</v>
      </c>
      <c r="I137" s="1" t="str">
        <f t="shared" si="21"/>
        <v>0.1</v>
      </c>
      <c r="M137" s="1" t="s">
        <v>718</v>
      </c>
      <c r="Q137" s="1" t="b">
        <f t="shared" si="6"/>
        <v>1</v>
      </c>
    </row>
    <row r="138" spans="1:17" x14ac:dyDescent="0.15">
      <c r="D138" t="s">
        <v>801</v>
      </c>
      <c r="E138" s="9" t="s">
        <v>718</v>
      </c>
      <c r="F138" s="37">
        <v>10</v>
      </c>
      <c r="G138">
        <v>16</v>
      </c>
      <c r="H138" s="7">
        <v>2</v>
      </c>
      <c r="I138" s="1" t="str">
        <f t="shared" si="21"/>
        <v>0.19</v>
      </c>
      <c r="M138" s="1" t="s">
        <v>813</v>
      </c>
      <c r="Q138" s="1" t="b">
        <f t="shared" si="6"/>
        <v>1</v>
      </c>
    </row>
    <row r="139" spans="1:17" x14ac:dyDescent="0.15">
      <c r="D139" t="s">
        <v>782</v>
      </c>
      <c r="E139" s="9" t="s">
        <v>718</v>
      </c>
      <c r="F139" s="37">
        <v>10</v>
      </c>
      <c r="G139">
        <v>16</v>
      </c>
      <c r="H139" s="7">
        <v>255</v>
      </c>
      <c r="I139" s="1" t="str">
        <f t="shared" si="21"/>
        <v>0.199999999999999999999999999999999999999999999999999999999999999999999999999999999999999999999999999999999999999999999999999999999999999999999999999999999999999999999999999999999999999999999999999999999999999999999999999999999999999999999999999999999999999</v>
      </c>
      <c r="M139" s="1" t="s">
        <v>814</v>
      </c>
      <c r="Q139" s="1" t="b">
        <f t="shared" si="6"/>
        <v>1</v>
      </c>
    </row>
    <row r="140" spans="1:17" x14ac:dyDescent="0.15">
      <c r="D140" t="s">
        <v>815</v>
      </c>
      <c r="E140" s="9" t="s">
        <v>718</v>
      </c>
      <c r="F140" s="37">
        <v>10</v>
      </c>
      <c r="G140">
        <v>16</v>
      </c>
      <c r="H140" s="7"/>
      <c r="I140" s="1" t="str">
        <f>convRadix(E140,F140,G140)</f>
        <v>0.199999999999999999999999999999</v>
      </c>
      <c r="M140" s="1" t="s">
        <v>816</v>
      </c>
      <c r="Q140" s="1" t="b">
        <f t="shared" si="6"/>
        <v>1</v>
      </c>
    </row>
    <row r="141" spans="1:17" x14ac:dyDescent="0.15">
      <c r="B141" s="2" t="s">
        <v>802</v>
      </c>
      <c r="C141" s="2"/>
      <c r="D141" s="2" t="s">
        <v>803</v>
      </c>
      <c r="E141" s="11" t="s">
        <v>817</v>
      </c>
      <c r="F141" s="38">
        <v>10</v>
      </c>
      <c r="G141" s="2">
        <v>16</v>
      </c>
      <c r="H141" s="2">
        <v>15</v>
      </c>
      <c r="I141" s="3" t="str">
        <f>convRadix(E141,F141,G141,H141)</f>
        <v>F</v>
      </c>
      <c r="J141" s="2"/>
      <c r="K141" s="2"/>
      <c r="L141" s="2"/>
      <c r="M141" s="3" t="s">
        <v>98</v>
      </c>
      <c r="N141" s="2"/>
      <c r="O141" s="2"/>
      <c r="P141" s="2"/>
      <c r="Q141" s="3" t="b">
        <f t="shared" si="6"/>
        <v>1</v>
      </c>
    </row>
    <row r="142" spans="1:17" x14ac:dyDescent="0.15">
      <c r="D142" t="s">
        <v>804</v>
      </c>
      <c r="E142" s="9" t="s">
        <v>818</v>
      </c>
      <c r="F142" s="37">
        <v>10</v>
      </c>
      <c r="G142">
        <v>16</v>
      </c>
      <c r="H142" s="7">
        <v>15</v>
      </c>
      <c r="I142" s="1" t="str">
        <f>convRadix(E142,F142,G142,H142)</f>
        <v>-F</v>
      </c>
      <c r="M142" s="1" t="s">
        <v>819</v>
      </c>
      <c r="Q142" s="1" t="b">
        <f t="shared" si="6"/>
        <v>1</v>
      </c>
    </row>
    <row r="143" spans="1:17" x14ac:dyDescent="0.15">
      <c r="A143" s="2" t="s">
        <v>820</v>
      </c>
      <c r="B143" s="2" t="s">
        <v>783</v>
      </c>
      <c r="C143" s="2"/>
      <c r="D143" s="2" t="s">
        <v>622</v>
      </c>
      <c r="E143" s="3">
        <v>15</v>
      </c>
      <c r="F143" s="38">
        <v>1</v>
      </c>
      <c r="G143" s="2"/>
      <c r="H143" s="2"/>
      <c r="I143" s="3" t="e">
        <f>getDiminishedRadixComplement(E143,F143)</f>
        <v>#NUM!</v>
      </c>
      <c r="J143" s="2"/>
      <c r="K143" s="2"/>
      <c r="L143" s="2"/>
      <c r="M143" s="3" t="e">
        <v>#NUM!</v>
      </c>
      <c r="N143" s="2"/>
      <c r="O143" s="2"/>
      <c r="P143" s="2"/>
      <c r="Q143" s="3" t="b">
        <f t="shared" si="6"/>
        <v>1</v>
      </c>
    </row>
    <row r="144" spans="1:17" x14ac:dyDescent="0.15">
      <c r="D144" s="7" t="s">
        <v>784</v>
      </c>
      <c r="E144" s="8" t="s">
        <v>566</v>
      </c>
      <c r="F144" s="37">
        <v>10</v>
      </c>
      <c r="G144" s="7"/>
      <c r="H144" s="7"/>
      <c r="I144" s="1" t="e">
        <f t="shared" ref="I144:I145" si="22">getDiminishedRadixComplement(E144,F144)</f>
        <v>#NUM!</v>
      </c>
      <c r="M144" s="1" t="e">
        <v>#NUM!</v>
      </c>
      <c r="Q144" s="1" t="b">
        <f t="shared" si="6"/>
        <v>1</v>
      </c>
    </row>
    <row r="145" spans="2:17" x14ac:dyDescent="0.15">
      <c r="D145" s="7" t="s">
        <v>785</v>
      </c>
      <c r="F145" s="37">
        <v>10</v>
      </c>
      <c r="G145" s="7"/>
      <c r="H145" s="7"/>
      <c r="I145" s="1" t="e">
        <f t="shared" si="22"/>
        <v>#NULL!</v>
      </c>
      <c r="M145" s="1" t="e">
        <v>#NULL!</v>
      </c>
      <c r="Q145" s="1" t="b">
        <f t="shared" si="6"/>
        <v>1</v>
      </c>
    </row>
    <row r="146" spans="2:17" x14ac:dyDescent="0.15">
      <c r="B146" s="2" t="s">
        <v>821</v>
      </c>
      <c r="C146" s="2" t="s">
        <v>822</v>
      </c>
      <c r="D146" s="2" t="s">
        <v>823</v>
      </c>
      <c r="E146" s="11" t="s">
        <v>828</v>
      </c>
      <c r="F146" s="38">
        <v>2</v>
      </c>
      <c r="G146" s="2"/>
      <c r="H146" s="24"/>
      <c r="I146" s="3" t="str">
        <f>getDiminishedRadixComplement(E146,F146)</f>
        <v>1</v>
      </c>
      <c r="J146" s="2"/>
      <c r="K146" s="2"/>
      <c r="L146" s="2"/>
      <c r="M146" s="3" t="s">
        <v>44</v>
      </c>
      <c r="N146" s="2"/>
      <c r="O146" s="2"/>
      <c r="P146" s="2"/>
      <c r="Q146" s="3" t="b">
        <f t="shared" si="6"/>
        <v>1</v>
      </c>
    </row>
    <row r="147" spans="2:17" x14ac:dyDescent="0.15">
      <c r="D147" t="s">
        <v>824</v>
      </c>
      <c r="E147" s="9" t="s">
        <v>829</v>
      </c>
      <c r="F147" s="37">
        <v>2</v>
      </c>
      <c r="H147" s="7"/>
      <c r="I147" s="1" t="str">
        <f t="shared" ref="I147:I179" si="23">getDiminishedRadixComplement(E147,F147)</f>
        <v>0</v>
      </c>
      <c r="M147" s="1" t="s">
        <v>14</v>
      </c>
      <c r="Q147" s="1" t="b">
        <f t="shared" si="6"/>
        <v>1</v>
      </c>
    </row>
    <row r="148" spans="2:17" x14ac:dyDescent="0.15">
      <c r="D148" t="s">
        <v>825</v>
      </c>
      <c r="E148" s="9" t="s">
        <v>828</v>
      </c>
      <c r="F148" s="37">
        <v>7</v>
      </c>
      <c r="H148" s="7"/>
      <c r="I148" s="1" t="str">
        <f t="shared" si="23"/>
        <v>6</v>
      </c>
      <c r="M148" s="1" t="s">
        <v>750</v>
      </c>
      <c r="Q148" s="1" t="b">
        <f t="shared" si="6"/>
        <v>1</v>
      </c>
    </row>
    <row r="149" spans="2:17" x14ac:dyDescent="0.15">
      <c r="D149" t="s">
        <v>827</v>
      </c>
      <c r="E149" s="9" t="s">
        <v>830</v>
      </c>
      <c r="F149" s="37">
        <v>7</v>
      </c>
      <c r="H149" s="7"/>
      <c r="I149" s="1" t="str">
        <f t="shared" si="23"/>
        <v>3</v>
      </c>
      <c r="M149" s="1" t="s">
        <v>80</v>
      </c>
      <c r="Q149" s="1" t="b">
        <f t="shared" si="6"/>
        <v>1</v>
      </c>
    </row>
    <row r="150" spans="2:17" x14ac:dyDescent="0.15">
      <c r="D150" t="s">
        <v>826</v>
      </c>
      <c r="E150" s="9" t="s">
        <v>832</v>
      </c>
      <c r="F150" s="37">
        <v>7</v>
      </c>
      <c r="H150" s="7"/>
      <c r="I150" s="1" t="str">
        <f t="shared" si="23"/>
        <v>0</v>
      </c>
      <c r="M150" s="1" t="s">
        <v>14</v>
      </c>
      <c r="Q150" s="1" t="b">
        <f t="shared" si="6"/>
        <v>1</v>
      </c>
    </row>
    <row r="151" spans="2:17" x14ac:dyDescent="0.15">
      <c r="D151" t="s">
        <v>833</v>
      </c>
      <c r="E151" s="9" t="s">
        <v>828</v>
      </c>
      <c r="F151" s="37">
        <v>16</v>
      </c>
      <c r="H151" s="7"/>
      <c r="I151" s="1" t="str">
        <f t="shared" si="23"/>
        <v>F</v>
      </c>
      <c r="M151" s="1" t="s">
        <v>98</v>
      </c>
      <c r="Q151" s="1" t="b">
        <f t="shared" si="6"/>
        <v>1</v>
      </c>
    </row>
    <row r="152" spans="2:17" x14ac:dyDescent="0.15">
      <c r="D152" t="s">
        <v>834</v>
      </c>
      <c r="E152" s="9" t="s">
        <v>836</v>
      </c>
      <c r="F152" s="37">
        <v>16</v>
      </c>
      <c r="H152" s="7"/>
      <c r="I152" s="1" t="str">
        <f t="shared" si="23"/>
        <v>7</v>
      </c>
      <c r="M152" s="1" t="s">
        <v>831</v>
      </c>
      <c r="Q152" s="1" t="b">
        <f t="shared" si="6"/>
        <v>1</v>
      </c>
    </row>
    <row r="153" spans="2:17" x14ac:dyDescent="0.15">
      <c r="D153" t="s">
        <v>835</v>
      </c>
      <c r="E153" s="9" t="s">
        <v>837</v>
      </c>
      <c r="F153" s="37">
        <v>16</v>
      </c>
      <c r="H153" s="7"/>
      <c r="I153" s="1" t="str">
        <f t="shared" si="23"/>
        <v>0</v>
      </c>
      <c r="M153" s="1" t="s">
        <v>14</v>
      </c>
      <c r="Q153" s="1" t="b">
        <f t="shared" si="6"/>
        <v>1</v>
      </c>
    </row>
    <row r="154" spans="2:17" x14ac:dyDescent="0.15">
      <c r="C154" s="2" t="s">
        <v>838</v>
      </c>
      <c r="D154" s="2" t="s">
        <v>839</v>
      </c>
      <c r="E154" s="11" t="s">
        <v>840</v>
      </c>
      <c r="F154" s="38">
        <v>2</v>
      </c>
      <c r="G154" s="2"/>
      <c r="H154" s="24"/>
      <c r="I154" s="3" t="str">
        <f t="shared" si="23"/>
        <v>01</v>
      </c>
      <c r="J154" s="2"/>
      <c r="K154" s="2"/>
      <c r="L154" s="2"/>
      <c r="M154" s="3" t="s">
        <v>231</v>
      </c>
      <c r="N154" s="2"/>
      <c r="O154" s="2"/>
      <c r="P154" s="2"/>
      <c r="Q154" s="3" t="b">
        <f t="shared" si="6"/>
        <v>1</v>
      </c>
    </row>
    <row r="155" spans="2:17" x14ac:dyDescent="0.15">
      <c r="C155" s="6"/>
      <c r="D155" s="6"/>
      <c r="E155" s="9" t="s">
        <v>841</v>
      </c>
      <c r="F155" s="37">
        <v>2</v>
      </c>
      <c r="G155" s="6"/>
      <c r="H155" s="7"/>
      <c r="I155" s="1" t="str">
        <f t="shared" si="23"/>
        <v>10</v>
      </c>
      <c r="J155" s="6"/>
      <c r="K155" s="6"/>
      <c r="L155" s="6"/>
      <c r="M155" s="1" t="s">
        <v>15</v>
      </c>
      <c r="N155" s="6"/>
      <c r="O155" s="6"/>
      <c r="P155" s="6"/>
      <c r="Q155" s="1" t="b">
        <f t="shared" si="6"/>
        <v>1</v>
      </c>
    </row>
    <row r="156" spans="2:17" x14ac:dyDescent="0.15">
      <c r="C156" s="6"/>
      <c r="D156" s="7" t="s">
        <v>842</v>
      </c>
      <c r="E156" s="9" t="s">
        <v>844</v>
      </c>
      <c r="F156" s="37">
        <v>7</v>
      </c>
      <c r="G156" s="6"/>
      <c r="H156" s="7"/>
      <c r="I156" s="1" t="str">
        <f t="shared" si="23"/>
        <v>06</v>
      </c>
      <c r="J156" s="6"/>
      <c r="K156" s="6"/>
      <c r="L156" s="6"/>
      <c r="M156" s="1" t="s">
        <v>845</v>
      </c>
      <c r="N156" s="6"/>
      <c r="O156" s="6"/>
      <c r="P156" s="6"/>
      <c r="Q156" s="1" t="b">
        <f t="shared" si="6"/>
        <v>1</v>
      </c>
    </row>
    <row r="157" spans="2:17" x14ac:dyDescent="0.15">
      <c r="C157" s="6"/>
      <c r="D157" s="6"/>
      <c r="E157" s="9" t="s">
        <v>846</v>
      </c>
      <c r="F157" s="37">
        <v>7</v>
      </c>
      <c r="G157" s="6"/>
      <c r="H157" s="7"/>
      <c r="I157" s="1" t="str">
        <f t="shared" si="23"/>
        <v>60</v>
      </c>
      <c r="J157" s="6"/>
      <c r="K157" s="6"/>
      <c r="L157" s="6"/>
      <c r="M157" s="1" t="s">
        <v>843</v>
      </c>
      <c r="N157" s="6"/>
      <c r="O157" s="6"/>
      <c r="P157" s="6"/>
      <c r="Q157" s="1" t="b">
        <f t="shared" ref="Q157:Q179" si="24">getText(I157)=getText(M157)</f>
        <v>1</v>
      </c>
    </row>
    <row r="158" spans="2:17" x14ac:dyDescent="0.15">
      <c r="C158" s="6"/>
      <c r="D158" s="7" t="s">
        <v>850</v>
      </c>
      <c r="E158" s="9" t="s">
        <v>848</v>
      </c>
      <c r="F158" s="37">
        <v>16</v>
      </c>
      <c r="G158" s="6"/>
      <c r="H158" s="7"/>
      <c r="I158" s="1" t="str">
        <f t="shared" si="23"/>
        <v>0F</v>
      </c>
      <c r="J158" s="6"/>
      <c r="K158" s="6"/>
      <c r="L158" s="6"/>
      <c r="M158" s="1" t="s">
        <v>236</v>
      </c>
      <c r="N158" s="6"/>
      <c r="O158" s="6"/>
      <c r="P158" s="6"/>
      <c r="Q158" s="1" t="b">
        <f t="shared" si="24"/>
        <v>1</v>
      </c>
    </row>
    <row r="159" spans="2:17" x14ac:dyDescent="0.15">
      <c r="C159" s="6"/>
      <c r="D159" s="6"/>
      <c r="E159" s="9" t="s">
        <v>849</v>
      </c>
      <c r="F159" s="37">
        <v>16</v>
      </c>
      <c r="G159" s="6"/>
      <c r="H159" s="7"/>
      <c r="I159" s="1" t="str">
        <f t="shared" si="23"/>
        <v>F0</v>
      </c>
      <c r="J159" s="6"/>
      <c r="K159" s="6"/>
      <c r="L159" s="6"/>
      <c r="M159" s="1" t="s">
        <v>847</v>
      </c>
      <c r="N159" s="6"/>
      <c r="O159" s="6"/>
      <c r="P159" s="6"/>
      <c r="Q159" s="1" t="b">
        <f t="shared" si="24"/>
        <v>1</v>
      </c>
    </row>
    <row r="160" spans="2:17" x14ac:dyDescent="0.15">
      <c r="C160" s="2" t="s">
        <v>851</v>
      </c>
      <c r="D160" s="2" t="s">
        <v>839</v>
      </c>
      <c r="E160" s="11" t="s">
        <v>852</v>
      </c>
      <c r="F160" s="38">
        <v>2</v>
      </c>
      <c r="G160" s="2"/>
      <c r="H160" s="24"/>
      <c r="I160" s="3" t="str">
        <f t="shared" si="23"/>
        <v>001</v>
      </c>
      <c r="J160" s="2"/>
      <c r="K160" s="2"/>
      <c r="L160" s="2"/>
      <c r="M160" s="3" t="s">
        <v>81</v>
      </c>
      <c r="N160" s="2"/>
      <c r="O160" s="2"/>
      <c r="P160" s="2"/>
      <c r="Q160" s="3" t="b">
        <f t="shared" si="24"/>
        <v>1</v>
      </c>
    </row>
    <row r="161" spans="2:17" x14ac:dyDescent="0.15">
      <c r="C161" s="6"/>
      <c r="D161" s="6"/>
      <c r="E161" s="9" t="s">
        <v>853</v>
      </c>
      <c r="F161" s="37">
        <v>2</v>
      </c>
      <c r="G161" s="6"/>
      <c r="H161" s="7"/>
      <c r="I161" s="1" t="str">
        <f t="shared" si="23"/>
        <v>110</v>
      </c>
      <c r="J161" s="6"/>
      <c r="K161" s="6"/>
      <c r="L161" s="6"/>
      <c r="M161" s="1" t="s">
        <v>274</v>
      </c>
      <c r="N161" s="6"/>
      <c r="O161" s="6"/>
      <c r="P161" s="6"/>
      <c r="Q161" s="1" t="b">
        <f t="shared" si="24"/>
        <v>1</v>
      </c>
    </row>
    <row r="162" spans="2:17" x14ac:dyDescent="0.15">
      <c r="C162" s="6"/>
      <c r="D162" s="7" t="s">
        <v>842</v>
      </c>
      <c r="E162" s="9" t="s">
        <v>855</v>
      </c>
      <c r="F162" s="37">
        <v>7</v>
      </c>
      <c r="G162" s="6"/>
      <c r="H162" s="7"/>
      <c r="I162" s="1" t="str">
        <f t="shared" si="23"/>
        <v>036</v>
      </c>
      <c r="J162" s="6"/>
      <c r="K162" s="6"/>
      <c r="L162" s="6"/>
      <c r="M162" s="1" t="s">
        <v>856</v>
      </c>
      <c r="N162" s="6"/>
      <c r="O162" s="6"/>
      <c r="P162" s="6"/>
      <c r="Q162" s="1" t="b">
        <f t="shared" si="24"/>
        <v>1</v>
      </c>
    </row>
    <row r="163" spans="2:17" x14ac:dyDescent="0.15">
      <c r="C163" s="6"/>
      <c r="D163" s="6"/>
      <c r="E163" s="9" t="s">
        <v>857</v>
      </c>
      <c r="F163" s="37">
        <v>7</v>
      </c>
      <c r="G163" s="6"/>
      <c r="H163" s="7"/>
      <c r="I163" s="1" t="str">
        <f t="shared" si="23"/>
        <v>630</v>
      </c>
      <c r="J163" s="6"/>
      <c r="K163" s="6"/>
      <c r="L163" s="6"/>
      <c r="M163" s="1" t="s">
        <v>854</v>
      </c>
      <c r="N163" s="6"/>
      <c r="O163" s="6"/>
      <c r="P163" s="6"/>
      <c r="Q163" s="1" t="b">
        <f t="shared" si="24"/>
        <v>1</v>
      </c>
    </row>
    <row r="164" spans="2:17" x14ac:dyDescent="0.15">
      <c r="C164" s="6"/>
      <c r="D164" s="7" t="s">
        <v>850</v>
      </c>
      <c r="E164" s="9" t="s">
        <v>858</v>
      </c>
      <c r="F164" s="37">
        <v>16</v>
      </c>
      <c r="G164" s="6"/>
      <c r="H164" s="7"/>
      <c r="I164" s="1" t="str">
        <f t="shared" si="23"/>
        <v>07F</v>
      </c>
      <c r="J164" s="6"/>
      <c r="K164" s="6"/>
      <c r="L164" s="6"/>
      <c r="M164" s="1" t="s">
        <v>860</v>
      </c>
      <c r="N164" s="6"/>
      <c r="O164" s="6"/>
      <c r="P164" s="6"/>
      <c r="Q164" s="1" t="b">
        <f t="shared" si="24"/>
        <v>1</v>
      </c>
    </row>
    <row r="165" spans="2:17" x14ac:dyDescent="0.15">
      <c r="C165" s="6"/>
      <c r="D165" s="6"/>
      <c r="E165" s="9" t="s">
        <v>859</v>
      </c>
      <c r="F165" s="37">
        <v>16</v>
      </c>
      <c r="G165" s="6"/>
      <c r="H165" s="7"/>
      <c r="I165" s="1" t="str">
        <f t="shared" si="23"/>
        <v>F70</v>
      </c>
      <c r="J165" s="6"/>
      <c r="K165" s="6"/>
      <c r="L165" s="6"/>
      <c r="M165" s="1" t="s">
        <v>861</v>
      </c>
      <c r="N165" s="6"/>
      <c r="O165" s="6"/>
      <c r="P165" s="6"/>
      <c r="Q165" s="1" t="b">
        <f t="shared" si="24"/>
        <v>1</v>
      </c>
    </row>
    <row r="166" spans="2:17" x14ac:dyDescent="0.15">
      <c r="B166" s="2" t="s">
        <v>862</v>
      </c>
      <c r="C166" s="2" t="s">
        <v>863</v>
      </c>
      <c r="D166" s="2" t="s">
        <v>864</v>
      </c>
      <c r="E166" s="11" t="s">
        <v>828</v>
      </c>
      <c r="F166" s="38">
        <v>10</v>
      </c>
      <c r="G166" s="2"/>
      <c r="H166" s="24"/>
      <c r="I166" s="3" t="str">
        <f t="shared" si="23"/>
        <v>9</v>
      </c>
      <c r="J166" s="2"/>
      <c r="K166" s="2"/>
      <c r="L166" s="2"/>
      <c r="M166" s="3" t="s">
        <v>100</v>
      </c>
      <c r="N166" s="2"/>
      <c r="O166" s="2"/>
      <c r="P166" s="2"/>
      <c r="Q166" s="3" t="b">
        <f t="shared" si="24"/>
        <v>1</v>
      </c>
    </row>
    <row r="167" spans="2:17" x14ac:dyDescent="0.15">
      <c r="C167" s="6"/>
      <c r="D167" s="6" t="s">
        <v>865</v>
      </c>
      <c r="E167" s="9" t="s">
        <v>873</v>
      </c>
      <c r="F167" s="37">
        <v>10</v>
      </c>
      <c r="G167" s="6"/>
      <c r="H167" s="7"/>
      <c r="I167" s="1" t="str">
        <f t="shared" si="23"/>
        <v>9.0</v>
      </c>
      <c r="J167" s="6"/>
      <c r="K167" s="6"/>
      <c r="L167" s="6"/>
      <c r="M167" s="1" t="s">
        <v>870</v>
      </c>
      <c r="N167" s="6"/>
      <c r="O167" s="6"/>
      <c r="P167" s="6"/>
      <c r="Q167" s="1" t="b">
        <f t="shared" si="24"/>
        <v>1</v>
      </c>
    </row>
    <row r="168" spans="2:17" x14ac:dyDescent="0.15">
      <c r="C168" s="6"/>
      <c r="D168" s="6" t="s">
        <v>866</v>
      </c>
      <c r="E168" s="9" t="s">
        <v>874</v>
      </c>
      <c r="F168" s="37">
        <v>10</v>
      </c>
      <c r="G168" s="6"/>
      <c r="H168" s="7"/>
      <c r="I168" s="1" t="str">
        <f t="shared" si="23"/>
        <v>9.01</v>
      </c>
      <c r="J168" s="6"/>
      <c r="K168" s="6"/>
      <c r="L168" s="6"/>
      <c r="M168" s="1" t="s">
        <v>871</v>
      </c>
      <c r="N168" s="6"/>
      <c r="O168" s="6"/>
      <c r="P168" s="6"/>
      <c r="Q168" s="1" t="b">
        <f t="shared" si="24"/>
        <v>1</v>
      </c>
    </row>
    <row r="169" spans="2:17" x14ac:dyDescent="0.15">
      <c r="C169" s="6"/>
      <c r="D169" s="6" t="s">
        <v>867</v>
      </c>
      <c r="E169" s="9" t="s">
        <v>875</v>
      </c>
      <c r="F169" s="37">
        <v>10</v>
      </c>
      <c r="G169" s="6"/>
      <c r="H169" s="7"/>
      <c r="I169" s="1" t="str">
        <f t="shared" si="23"/>
        <v>9.012</v>
      </c>
      <c r="J169" s="6"/>
      <c r="K169" s="6"/>
      <c r="L169" s="6"/>
      <c r="M169" s="1" t="s">
        <v>872</v>
      </c>
      <c r="N169" s="6"/>
      <c r="O169" s="6"/>
      <c r="P169" s="6"/>
      <c r="Q169" s="1" t="b">
        <f t="shared" si="24"/>
        <v>1</v>
      </c>
    </row>
    <row r="170" spans="2:17" x14ac:dyDescent="0.15">
      <c r="C170" s="2" t="s">
        <v>868</v>
      </c>
      <c r="D170" s="2" t="s">
        <v>864</v>
      </c>
      <c r="E170" s="11" t="s">
        <v>876</v>
      </c>
      <c r="F170" s="38">
        <v>10</v>
      </c>
      <c r="G170" s="2"/>
      <c r="H170" s="24"/>
      <c r="I170" s="3" t="str">
        <f t="shared" si="23"/>
        <v>87</v>
      </c>
      <c r="J170" s="2"/>
      <c r="K170" s="2"/>
      <c r="L170" s="2"/>
      <c r="M170" s="3" t="s">
        <v>884</v>
      </c>
      <c r="N170" s="2"/>
      <c r="O170" s="2"/>
      <c r="P170" s="2"/>
      <c r="Q170" s="3" t="b">
        <f t="shared" si="24"/>
        <v>1</v>
      </c>
    </row>
    <row r="171" spans="2:17" x14ac:dyDescent="0.15">
      <c r="C171" s="6"/>
      <c r="D171" s="6" t="s">
        <v>865</v>
      </c>
      <c r="E171" s="9" t="s">
        <v>877</v>
      </c>
      <c r="F171" s="37">
        <v>10</v>
      </c>
      <c r="G171" s="6"/>
      <c r="H171" s="7"/>
      <c r="I171" s="1" t="str">
        <f t="shared" si="23"/>
        <v>87.0</v>
      </c>
      <c r="J171" s="6"/>
      <c r="K171" s="6"/>
      <c r="L171" s="6"/>
      <c r="M171" s="1" t="s">
        <v>885</v>
      </c>
      <c r="N171" s="6"/>
      <c r="O171" s="6"/>
      <c r="P171" s="6"/>
      <c r="Q171" s="1" t="b">
        <f t="shared" si="24"/>
        <v>1</v>
      </c>
    </row>
    <row r="172" spans="2:17" x14ac:dyDescent="0.15">
      <c r="C172" s="6"/>
      <c r="D172" s="6" t="s">
        <v>866</v>
      </c>
      <c r="E172" s="9" t="s">
        <v>878</v>
      </c>
      <c r="F172" s="37">
        <v>10</v>
      </c>
      <c r="G172" s="6"/>
      <c r="H172" s="7"/>
      <c r="I172" s="1" t="str">
        <f t="shared" si="23"/>
        <v>87.01</v>
      </c>
      <c r="J172" s="6"/>
      <c r="K172" s="6"/>
      <c r="L172" s="6"/>
      <c r="M172" s="1" t="s">
        <v>886</v>
      </c>
      <c r="N172" s="6"/>
      <c r="O172" s="6"/>
      <c r="P172" s="6"/>
      <c r="Q172" s="1" t="b">
        <f t="shared" si="24"/>
        <v>1</v>
      </c>
    </row>
    <row r="173" spans="2:17" x14ac:dyDescent="0.15">
      <c r="C173" s="6"/>
      <c r="D173" s="6" t="s">
        <v>867</v>
      </c>
      <c r="E173" s="9" t="s">
        <v>879</v>
      </c>
      <c r="F173" s="37">
        <v>10</v>
      </c>
      <c r="G173" s="6"/>
      <c r="H173" s="7"/>
      <c r="I173" s="1" t="str">
        <f t="shared" si="23"/>
        <v>87.012</v>
      </c>
      <c r="J173" s="6"/>
      <c r="K173" s="6"/>
      <c r="L173" s="6"/>
      <c r="M173" s="1" t="s">
        <v>887</v>
      </c>
      <c r="N173" s="6"/>
      <c r="O173" s="6"/>
      <c r="P173" s="6"/>
      <c r="Q173" s="1" t="b">
        <f t="shared" si="24"/>
        <v>1</v>
      </c>
    </row>
    <row r="174" spans="2:17" x14ac:dyDescent="0.15">
      <c r="C174" s="2" t="s">
        <v>869</v>
      </c>
      <c r="D174" s="2" t="s">
        <v>864</v>
      </c>
      <c r="E174" s="11" t="s">
        <v>880</v>
      </c>
      <c r="F174" s="38">
        <v>10</v>
      </c>
      <c r="G174" s="2"/>
      <c r="H174" s="24"/>
      <c r="I174" s="3" t="str">
        <f t="shared" si="23"/>
        <v>876</v>
      </c>
      <c r="J174" s="2"/>
      <c r="K174" s="2"/>
      <c r="L174" s="2"/>
      <c r="M174" s="3" t="s">
        <v>888</v>
      </c>
      <c r="N174" s="2"/>
      <c r="O174" s="2"/>
      <c r="P174" s="2"/>
      <c r="Q174" s="3" t="b">
        <f t="shared" si="24"/>
        <v>1</v>
      </c>
    </row>
    <row r="175" spans="2:17" x14ac:dyDescent="0.15">
      <c r="C175" s="6"/>
      <c r="D175" s="6" t="s">
        <v>865</v>
      </c>
      <c r="E175" s="9" t="s">
        <v>881</v>
      </c>
      <c r="F175" s="37">
        <v>10</v>
      </c>
      <c r="G175" s="6"/>
      <c r="H175" s="7"/>
      <c r="I175" s="1" t="str">
        <f t="shared" si="23"/>
        <v>876.0</v>
      </c>
      <c r="J175" s="6"/>
      <c r="K175" s="6"/>
      <c r="L175" s="6"/>
      <c r="M175" s="1" t="s">
        <v>889</v>
      </c>
      <c r="N175" s="6"/>
      <c r="O175" s="6"/>
      <c r="P175" s="6"/>
      <c r="Q175" s="1" t="b">
        <f t="shared" si="24"/>
        <v>1</v>
      </c>
    </row>
    <row r="176" spans="2:17" x14ac:dyDescent="0.15">
      <c r="C176" s="6"/>
      <c r="D176" s="6" t="s">
        <v>866</v>
      </c>
      <c r="E176" s="9" t="s">
        <v>882</v>
      </c>
      <c r="F176" s="37">
        <v>10</v>
      </c>
      <c r="G176" s="6"/>
      <c r="H176" s="7"/>
      <c r="I176" s="1" t="str">
        <f t="shared" si="23"/>
        <v>876.01</v>
      </c>
      <c r="J176" s="6"/>
      <c r="K176" s="6"/>
      <c r="L176" s="6"/>
      <c r="M176" s="1" t="s">
        <v>890</v>
      </c>
      <c r="N176" s="6"/>
      <c r="O176" s="6"/>
      <c r="P176" s="6"/>
      <c r="Q176" s="1" t="b">
        <f t="shared" si="24"/>
        <v>1</v>
      </c>
    </row>
    <row r="177" spans="1:20" x14ac:dyDescent="0.15">
      <c r="C177" s="6"/>
      <c r="D177" s="6" t="s">
        <v>867</v>
      </c>
      <c r="E177" s="9" t="s">
        <v>883</v>
      </c>
      <c r="F177" s="37">
        <v>10</v>
      </c>
      <c r="G177" s="6"/>
      <c r="H177" s="7"/>
      <c r="I177" s="1" t="str">
        <f t="shared" si="23"/>
        <v>876.012</v>
      </c>
      <c r="J177" s="6"/>
      <c r="K177" s="6"/>
      <c r="L177" s="6"/>
      <c r="M177" s="1" t="s">
        <v>891</v>
      </c>
      <c r="N177" s="6"/>
      <c r="O177" s="6"/>
      <c r="P177" s="6"/>
      <c r="Q177" s="1" t="b">
        <f t="shared" si="24"/>
        <v>1</v>
      </c>
    </row>
    <row r="178" spans="1:20" x14ac:dyDescent="0.15">
      <c r="B178" s="2" t="s">
        <v>892</v>
      </c>
      <c r="C178" s="2" t="s">
        <v>893</v>
      </c>
      <c r="D178" s="2"/>
      <c r="E178" s="11" t="s">
        <v>895</v>
      </c>
      <c r="F178" s="38">
        <v>10</v>
      </c>
      <c r="G178" s="2"/>
      <c r="H178" s="24"/>
      <c r="I178" s="3" t="str">
        <f t="shared" si="23"/>
        <v>5</v>
      </c>
      <c r="J178" s="2"/>
      <c r="K178" s="2"/>
      <c r="L178" s="2"/>
      <c r="M178" s="3" t="s">
        <v>82</v>
      </c>
      <c r="N178" s="2"/>
      <c r="O178" s="2"/>
      <c r="P178" s="2"/>
      <c r="Q178" s="3" t="b">
        <f t="shared" si="24"/>
        <v>1</v>
      </c>
    </row>
    <row r="179" spans="1:20" x14ac:dyDescent="0.15">
      <c r="C179" s="6" t="s">
        <v>894</v>
      </c>
      <c r="D179" s="6"/>
      <c r="E179" s="9" t="s">
        <v>896</v>
      </c>
      <c r="F179" s="37">
        <v>10</v>
      </c>
      <c r="G179" s="6"/>
      <c r="H179" s="7"/>
      <c r="I179" s="1" t="str">
        <f t="shared" si="23"/>
        <v>-5</v>
      </c>
      <c r="J179" s="6"/>
      <c r="K179" s="6"/>
      <c r="L179" s="6"/>
      <c r="M179" s="1" t="s">
        <v>897</v>
      </c>
      <c r="N179" s="6"/>
      <c r="O179" s="6"/>
      <c r="P179" s="6"/>
      <c r="Q179" s="1" t="b">
        <f t="shared" si="24"/>
        <v>1</v>
      </c>
    </row>
    <row r="180" spans="1:20" s="2" customFormat="1" x14ac:dyDescent="0.15">
      <c r="A180" s="2" t="s">
        <v>620</v>
      </c>
      <c r="B180" s="2" t="s">
        <v>899</v>
      </c>
      <c r="C180" s="2" t="s">
        <v>621</v>
      </c>
      <c r="E180" s="11"/>
      <c r="F180" s="2">
        <v>10</v>
      </c>
      <c r="G180" s="2" t="b">
        <v>0</v>
      </c>
      <c r="I180" s="3" t="e">
        <f>TESTseparateToIntAndFrc(E180,F180,G180)</f>
        <v>#NULL!</v>
      </c>
      <c r="J180" s="2" t="str">
        <f>TESTseparateToIntAndFrcByRef1(E180,F180,G180)</f>
        <v/>
      </c>
      <c r="K180" s="2" t="str">
        <f>TESTseparateToIntAndFrcByRef2(E180,F180,G180)</f>
        <v/>
      </c>
      <c r="L180" s="2" t="b">
        <f>TESTseparateToIntAndFrcByRef3(E180,F180,G180)</f>
        <v>0</v>
      </c>
      <c r="M180" s="3" t="e">
        <v>#NULL!</v>
      </c>
      <c r="N180" s="2" t="s">
        <v>45</v>
      </c>
      <c r="O180" s="2" t="s">
        <v>45</v>
      </c>
      <c r="P180" s="2" t="b">
        <v>0</v>
      </c>
      <c r="Q180" s="3" t="b">
        <f t="shared" ref="Q180:Q190" si="25">getText(I180)=getText(M180)</f>
        <v>1</v>
      </c>
      <c r="R180" s="2" t="b">
        <f t="shared" ref="R180:R190" si="26">getText(J180)=getText(N180)</f>
        <v>1</v>
      </c>
      <c r="S180" s="2" t="b">
        <f t="shared" ref="S180:S190" si="27">getText(K180)=getText(O180)</f>
        <v>1</v>
      </c>
      <c r="T180" s="2" t="b">
        <f t="shared" ref="T180:T190" si="28">getText(L180)=getText(P180)</f>
        <v>1</v>
      </c>
    </row>
    <row r="181" spans="1:20" x14ac:dyDescent="0.15">
      <c r="B181" s="6"/>
      <c r="C181" s="2" t="s">
        <v>622</v>
      </c>
      <c r="D181" s="2"/>
      <c r="E181" s="3">
        <v>1</v>
      </c>
      <c r="F181" s="2">
        <v>1</v>
      </c>
      <c r="G181" s="2" t="b">
        <v>0</v>
      </c>
      <c r="H181" s="2"/>
      <c r="I181" s="3" t="e">
        <f t="shared" ref="I181:I205" si="29">TESTseparateToIntAndFrc(E181,F181,G181)</f>
        <v>#NUM!</v>
      </c>
      <c r="J181" s="2" t="str">
        <f t="shared" ref="J181:J205" si="30">TESTseparateToIntAndFrcByRef1(E181,F181,G181)</f>
        <v/>
      </c>
      <c r="K181" s="2" t="str">
        <f t="shared" ref="K181:K205" si="31">TESTseparateToIntAndFrcByRef2(E181,F181,G181)</f>
        <v/>
      </c>
      <c r="L181" s="2" t="b">
        <f t="shared" ref="L181:L205" si="32">TESTseparateToIntAndFrcByRef3(E181,F181,G181)</f>
        <v>0</v>
      </c>
      <c r="M181" s="3" t="e">
        <v>#NUM!</v>
      </c>
      <c r="N181" s="2" t="s">
        <v>45</v>
      </c>
      <c r="O181" s="2" t="s">
        <v>45</v>
      </c>
      <c r="P181" s="2" t="b">
        <v>0</v>
      </c>
      <c r="Q181" s="3" t="b">
        <f t="shared" si="25"/>
        <v>1</v>
      </c>
      <c r="R181" s="2" t="b">
        <f t="shared" si="26"/>
        <v>1</v>
      </c>
      <c r="S181" s="2" t="b">
        <f t="shared" si="27"/>
        <v>1</v>
      </c>
      <c r="T181" s="2" t="b">
        <f t="shared" si="28"/>
        <v>1</v>
      </c>
    </row>
    <row r="182" spans="1:20" x14ac:dyDescent="0.15">
      <c r="B182" s="2" t="s">
        <v>626</v>
      </c>
      <c r="C182" s="2" t="s">
        <v>627</v>
      </c>
      <c r="D182" s="2" t="s">
        <v>623</v>
      </c>
      <c r="E182" s="11" t="s">
        <v>110</v>
      </c>
      <c r="F182" s="2">
        <v>10</v>
      </c>
      <c r="G182" s="2" t="b">
        <v>0</v>
      </c>
      <c r="H182" s="2"/>
      <c r="I182" s="3">
        <f t="shared" si="29"/>
        <v>0</v>
      </c>
      <c r="J182" s="2" t="str">
        <f t="shared" si="30"/>
        <v>1</v>
      </c>
      <c r="K182" s="2" t="str">
        <f t="shared" si="31"/>
        <v/>
      </c>
      <c r="L182" s="2" t="b">
        <f t="shared" si="32"/>
        <v>0</v>
      </c>
      <c r="M182" s="3">
        <v>0</v>
      </c>
      <c r="N182" s="2" t="s">
        <v>44</v>
      </c>
      <c r="O182" s="2" t="s">
        <v>45</v>
      </c>
      <c r="P182" s="2" t="b">
        <v>0</v>
      </c>
      <c r="Q182" s="3" t="b">
        <f t="shared" ref="Q182:Q184" si="33">getText(I182)=getText(M182)</f>
        <v>1</v>
      </c>
      <c r="R182" s="2" t="b">
        <f t="shared" ref="R182:R184" si="34">getText(J182)=getText(N182)</f>
        <v>1</v>
      </c>
      <c r="S182" s="2" t="b">
        <f t="shared" ref="S182:S184" si="35">getText(K182)=getText(O182)</f>
        <v>1</v>
      </c>
      <c r="T182" s="2" t="b">
        <f t="shared" ref="T182:T184" si="36">getText(L182)=getText(P182)</f>
        <v>1</v>
      </c>
    </row>
    <row r="183" spans="1:20" x14ac:dyDescent="0.15">
      <c r="D183" t="s">
        <v>624</v>
      </c>
      <c r="E183" s="9" t="s">
        <v>393</v>
      </c>
      <c r="F183">
        <v>10</v>
      </c>
      <c r="G183" t="b">
        <v>0</v>
      </c>
      <c r="I183" s="1">
        <f t="shared" si="29"/>
        <v>0</v>
      </c>
      <c r="J183" t="str">
        <f t="shared" si="30"/>
        <v>12</v>
      </c>
      <c r="K183" t="str">
        <f t="shared" si="31"/>
        <v/>
      </c>
      <c r="L183" t="b">
        <f t="shared" si="32"/>
        <v>0</v>
      </c>
      <c r="M183" s="1">
        <v>0</v>
      </c>
      <c r="N183" t="s">
        <v>646</v>
      </c>
      <c r="O183" t="s">
        <v>45</v>
      </c>
      <c r="P183" t="b">
        <v>0</v>
      </c>
      <c r="Q183" s="1" t="b">
        <f t="shared" si="33"/>
        <v>1</v>
      </c>
      <c r="R183" t="b">
        <f t="shared" si="34"/>
        <v>1</v>
      </c>
      <c r="S183" t="b">
        <f t="shared" si="35"/>
        <v>1</v>
      </c>
      <c r="T183" t="b">
        <f t="shared" si="36"/>
        <v>1</v>
      </c>
    </row>
    <row r="184" spans="1:20" x14ac:dyDescent="0.15">
      <c r="D184" t="s">
        <v>625</v>
      </c>
      <c r="E184" s="9" t="s">
        <v>648</v>
      </c>
      <c r="F184">
        <v>10</v>
      </c>
      <c r="G184" t="b">
        <v>0</v>
      </c>
      <c r="I184" s="1">
        <f t="shared" si="29"/>
        <v>0</v>
      </c>
      <c r="J184" t="str">
        <f t="shared" si="30"/>
        <v>123</v>
      </c>
      <c r="K184" t="str">
        <f t="shared" si="31"/>
        <v/>
      </c>
      <c r="L184" t="b">
        <f t="shared" si="32"/>
        <v>0</v>
      </c>
      <c r="M184" s="1">
        <v>0</v>
      </c>
      <c r="N184" t="s">
        <v>647</v>
      </c>
      <c r="O184" t="s">
        <v>45</v>
      </c>
      <c r="P184" t="b">
        <v>0</v>
      </c>
      <c r="Q184" s="1" t="b">
        <f t="shared" si="33"/>
        <v>1</v>
      </c>
      <c r="R184" t="b">
        <f t="shared" si="34"/>
        <v>1</v>
      </c>
      <c r="S184" t="b">
        <f t="shared" si="35"/>
        <v>1</v>
      </c>
      <c r="T184" t="b">
        <f t="shared" si="36"/>
        <v>1</v>
      </c>
    </row>
    <row r="185" spans="1:20" x14ac:dyDescent="0.15">
      <c r="C185" s="2" t="s">
        <v>628</v>
      </c>
      <c r="D185" s="2" t="s">
        <v>623</v>
      </c>
      <c r="E185" s="11" t="s">
        <v>616</v>
      </c>
      <c r="F185" s="2">
        <v>10</v>
      </c>
      <c r="G185" s="2" t="b">
        <v>0</v>
      </c>
      <c r="H185" s="2"/>
      <c r="I185" s="3">
        <f t="shared" si="29"/>
        <v>0</v>
      </c>
      <c r="J185" s="2" t="str">
        <f t="shared" si="30"/>
        <v>1</v>
      </c>
      <c r="K185" s="2" t="str">
        <f t="shared" si="31"/>
        <v/>
      </c>
      <c r="L185" s="2" t="b">
        <f t="shared" si="32"/>
        <v>1</v>
      </c>
      <c r="M185" s="3">
        <v>0</v>
      </c>
      <c r="N185" s="2" t="s">
        <v>44</v>
      </c>
      <c r="O185" s="2" t="s">
        <v>45</v>
      </c>
      <c r="P185" s="2" t="b">
        <v>1</v>
      </c>
      <c r="Q185" s="3" t="b">
        <f t="shared" si="25"/>
        <v>1</v>
      </c>
      <c r="R185" s="2" t="b">
        <f t="shared" si="26"/>
        <v>1</v>
      </c>
      <c r="S185" s="2" t="b">
        <f t="shared" si="27"/>
        <v>1</v>
      </c>
      <c r="T185" s="2" t="b">
        <f t="shared" si="28"/>
        <v>1</v>
      </c>
    </row>
    <row r="186" spans="1:20" x14ac:dyDescent="0.15">
      <c r="D186" t="s">
        <v>624</v>
      </c>
      <c r="E186" s="9" t="s">
        <v>649</v>
      </c>
      <c r="F186">
        <v>10</v>
      </c>
      <c r="G186" t="b">
        <v>0</v>
      </c>
      <c r="I186" s="1">
        <f t="shared" si="29"/>
        <v>0</v>
      </c>
      <c r="J186" t="str">
        <f t="shared" si="30"/>
        <v>12</v>
      </c>
      <c r="K186" t="str">
        <f t="shared" si="31"/>
        <v/>
      </c>
      <c r="L186" t="b">
        <f t="shared" si="32"/>
        <v>1</v>
      </c>
      <c r="M186" s="1">
        <v>0</v>
      </c>
      <c r="N186" t="s">
        <v>646</v>
      </c>
      <c r="O186" t="s">
        <v>45</v>
      </c>
      <c r="P186" t="b">
        <v>1</v>
      </c>
      <c r="Q186" s="1" t="b">
        <f t="shared" si="25"/>
        <v>1</v>
      </c>
      <c r="R186" t="b">
        <f t="shared" si="26"/>
        <v>1</v>
      </c>
      <c r="S186" t="b">
        <f t="shared" si="27"/>
        <v>1</v>
      </c>
      <c r="T186" t="b">
        <f t="shared" si="28"/>
        <v>1</v>
      </c>
    </row>
    <row r="187" spans="1:20" x14ac:dyDescent="0.15">
      <c r="D187" t="s">
        <v>625</v>
      </c>
      <c r="E187" s="9" t="s">
        <v>650</v>
      </c>
      <c r="F187">
        <v>10</v>
      </c>
      <c r="G187" t="b">
        <v>0</v>
      </c>
      <c r="I187" s="1">
        <f t="shared" si="29"/>
        <v>0</v>
      </c>
      <c r="J187" t="str">
        <f t="shared" si="30"/>
        <v>123</v>
      </c>
      <c r="K187" t="str">
        <f t="shared" si="31"/>
        <v/>
      </c>
      <c r="L187" t="b">
        <f t="shared" si="32"/>
        <v>1</v>
      </c>
      <c r="M187" s="1">
        <v>0</v>
      </c>
      <c r="N187" t="s">
        <v>647</v>
      </c>
      <c r="O187" t="s">
        <v>45</v>
      </c>
      <c r="P187" t="b">
        <v>1</v>
      </c>
      <c r="Q187" s="1" t="b">
        <f t="shared" si="25"/>
        <v>1</v>
      </c>
      <c r="R187" t="b">
        <f t="shared" si="26"/>
        <v>1</v>
      </c>
      <c r="S187" t="b">
        <f t="shared" si="27"/>
        <v>1</v>
      </c>
      <c r="T187" t="b">
        <f t="shared" si="28"/>
        <v>1</v>
      </c>
    </row>
    <row r="188" spans="1:20" x14ac:dyDescent="0.15">
      <c r="B188" s="2" t="s">
        <v>651</v>
      </c>
      <c r="C188" s="2" t="s">
        <v>627</v>
      </c>
      <c r="D188" s="2" t="s">
        <v>623</v>
      </c>
      <c r="E188" s="11" t="s">
        <v>653</v>
      </c>
      <c r="F188" s="2">
        <v>10</v>
      </c>
      <c r="G188" s="2" t="b">
        <v>0</v>
      </c>
      <c r="H188" s="2"/>
      <c r="I188" s="3">
        <f t="shared" si="29"/>
        <v>0</v>
      </c>
      <c r="J188" s="2" t="str">
        <f t="shared" si="30"/>
        <v>1</v>
      </c>
      <c r="K188" s="2" t="str">
        <f t="shared" si="31"/>
        <v>2</v>
      </c>
      <c r="L188" s="2" t="b">
        <f t="shared" si="32"/>
        <v>0</v>
      </c>
      <c r="M188" s="3">
        <v>0</v>
      </c>
      <c r="N188" s="2" t="s">
        <v>44</v>
      </c>
      <c r="O188" s="2" t="s">
        <v>290</v>
      </c>
      <c r="P188" s="2" t="b">
        <v>0</v>
      </c>
      <c r="Q188" s="3" t="b">
        <f t="shared" si="25"/>
        <v>1</v>
      </c>
      <c r="R188" s="2" t="b">
        <f t="shared" si="26"/>
        <v>1</v>
      </c>
      <c r="S188" s="2" t="b">
        <f t="shared" si="27"/>
        <v>1</v>
      </c>
      <c r="T188" s="2" t="b">
        <f t="shared" si="28"/>
        <v>1</v>
      </c>
    </row>
    <row r="189" spans="1:20" x14ac:dyDescent="0.15">
      <c r="C189" t="s">
        <v>652</v>
      </c>
      <c r="D189" t="s">
        <v>624</v>
      </c>
      <c r="E189" s="9" t="s">
        <v>654</v>
      </c>
      <c r="F189">
        <v>10</v>
      </c>
      <c r="G189" t="b">
        <v>0</v>
      </c>
      <c r="I189" s="1">
        <f t="shared" si="29"/>
        <v>0</v>
      </c>
      <c r="J189" t="str">
        <f t="shared" si="30"/>
        <v>1</v>
      </c>
      <c r="K189" t="str">
        <f t="shared" si="31"/>
        <v>23</v>
      </c>
      <c r="L189" t="b">
        <f t="shared" si="32"/>
        <v>0</v>
      </c>
      <c r="M189" s="1">
        <v>0</v>
      </c>
      <c r="N189" t="s">
        <v>44</v>
      </c>
      <c r="O189" t="s">
        <v>17</v>
      </c>
      <c r="P189" t="b">
        <v>0</v>
      </c>
      <c r="Q189" s="1" t="b">
        <f t="shared" si="25"/>
        <v>1</v>
      </c>
      <c r="R189" t="b">
        <f t="shared" si="26"/>
        <v>1</v>
      </c>
      <c r="S189" t="b">
        <f t="shared" si="27"/>
        <v>1</v>
      </c>
      <c r="T189" t="b">
        <f t="shared" si="28"/>
        <v>1</v>
      </c>
    </row>
    <row r="190" spans="1:20" x14ac:dyDescent="0.15">
      <c r="D190" t="s">
        <v>625</v>
      </c>
      <c r="E190" s="9" t="s">
        <v>655</v>
      </c>
      <c r="F190">
        <v>10</v>
      </c>
      <c r="G190" t="b">
        <v>0</v>
      </c>
      <c r="I190" s="1">
        <f t="shared" si="29"/>
        <v>0</v>
      </c>
      <c r="J190" t="str">
        <f t="shared" si="30"/>
        <v>1</v>
      </c>
      <c r="K190" t="str">
        <f t="shared" si="31"/>
        <v>234</v>
      </c>
      <c r="L190" t="b">
        <f t="shared" si="32"/>
        <v>0</v>
      </c>
      <c r="M190" s="1">
        <v>0</v>
      </c>
      <c r="N190" t="s">
        <v>44</v>
      </c>
      <c r="O190" t="s">
        <v>656</v>
      </c>
      <c r="P190" t="b">
        <v>0</v>
      </c>
      <c r="Q190" s="1" t="b">
        <f t="shared" si="25"/>
        <v>1</v>
      </c>
      <c r="R190" t="b">
        <f t="shared" si="26"/>
        <v>1</v>
      </c>
      <c r="S190" t="b">
        <f t="shared" si="27"/>
        <v>1</v>
      </c>
      <c r="T190" t="b">
        <f t="shared" si="28"/>
        <v>1</v>
      </c>
    </row>
    <row r="191" spans="1:20" x14ac:dyDescent="0.15">
      <c r="C191" s="2" t="s">
        <v>627</v>
      </c>
      <c r="D191" s="2" t="s">
        <v>623</v>
      </c>
      <c r="E191" s="11" t="s">
        <v>659</v>
      </c>
      <c r="F191" s="2">
        <v>10</v>
      </c>
      <c r="G191" s="2" t="b">
        <v>0</v>
      </c>
      <c r="H191" s="2"/>
      <c r="I191" s="3">
        <f t="shared" si="29"/>
        <v>0</v>
      </c>
      <c r="J191" s="2" t="str">
        <f t="shared" si="30"/>
        <v>12</v>
      </c>
      <c r="K191" s="2" t="str">
        <f t="shared" si="31"/>
        <v>3</v>
      </c>
      <c r="L191" s="2" t="b">
        <f t="shared" si="32"/>
        <v>0</v>
      </c>
      <c r="M191" s="3">
        <v>0</v>
      </c>
      <c r="N191" s="2" t="s">
        <v>646</v>
      </c>
      <c r="O191" s="2" t="s">
        <v>80</v>
      </c>
      <c r="P191" s="2" t="b">
        <v>0</v>
      </c>
      <c r="Q191" s="3" t="b">
        <f t="shared" ref="Q191:Q199" si="37">getText(I191)=getText(M191)</f>
        <v>1</v>
      </c>
      <c r="R191" s="2" t="b">
        <f t="shared" ref="R191:R199" si="38">getText(J191)=getText(N191)</f>
        <v>1</v>
      </c>
      <c r="S191" s="2" t="b">
        <f t="shared" ref="S191:S199" si="39">getText(K191)=getText(O191)</f>
        <v>1</v>
      </c>
      <c r="T191" s="2" t="b">
        <f t="shared" ref="T191:T199" si="40">getText(L191)=getText(P191)</f>
        <v>1</v>
      </c>
    </row>
    <row r="192" spans="1:20" x14ac:dyDescent="0.15">
      <c r="C192" t="s">
        <v>657</v>
      </c>
      <c r="D192" t="s">
        <v>624</v>
      </c>
      <c r="E192" s="9" t="s">
        <v>660</v>
      </c>
      <c r="F192">
        <v>10</v>
      </c>
      <c r="G192" t="b">
        <v>0</v>
      </c>
      <c r="I192" s="1">
        <f t="shared" si="29"/>
        <v>0</v>
      </c>
      <c r="J192" t="str">
        <f t="shared" si="30"/>
        <v>12</v>
      </c>
      <c r="K192" t="str">
        <f t="shared" si="31"/>
        <v>34</v>
      </c>
      <c r="L192" t="b">
        <f t="shared" si="32"/>
        <v>0</v>
      </c>
      <c r="M192" s="1">
        <v>0</v>
      </c>
      <c r="N192" t="s">
        <v>646</v>
      </c>
      <c r="O192" t="s">
        <v>662</v>
      </c>
      <c r="P192" t="b">
        <v>0</v>
      </c>
      <c r="Q192" s="1" t="b">
        <f t="shared" si="37"/>
        <v>1</v>
      </c>
      <c r="R192" t="b">
        <f t="shared" si="38"/>
        <v>1</v>
      </c>
      <c r="S192" t="b">
        <f t="shared" si="39"/>
        <v>1</v>
      </c>
      <c r="T192" t="b">
        <f t="shared" si="40"/>
        <v>1</v>
      </c>
    </row>
    <row r="193" spans="2:20" x14ac:dyDescent="0.15">
      <c r="D193" t="s">
        <v>625</v>
      </c>
      <c r="E193" s="9" t="s">
        <v>661</v>
      </c>
      <c r="F193">
        <v>10</v>
      </c>
      <c r="G193" t="b">
        <v>0</v>
      </c>
      <c r="I193" s="1">
        <f t="shared" si="29"/>
        <v>0</v>
      </c>
      <c r="J193" t="str">
        <f t="shared" si="30"/>
        <v>12</v>
      </c>
      <c r="K193" t="str">
        <f t="shared" si="31"/>
        <v>345</v>
      </c>
      <c r="L193" t="b">
        <f t="shared" si="32"/>
        <v>0</v>
      </c>
      <c r="M193" s="1">
        <v>0</v>
      </c>
      <c r="N193" t="s">
        <v>646</v>
      </c>
      <c r="O193" t="s">
        <v>663</v>
      </c>
      <c r="P193" t="b">
        <v>0</v>
      </c>
      <c r="Q193" s="1" t="b">
        <f t="shared" si="37"/>
        <v>1</v>
      </c>
      <c r="R193" t="b">
        <f t="shared" si="38"/>
        <v>1</v>
      </c>
      <c r="S193" t="b">
        <f t="shared" si="39"/>
        <v>1</v>
      </c>
      <c r="T193" t="b">
        <f t="shared" si="40"/>
        <v>1</v>
      </c>
    </row>
    <row r="194" spans="2:20" x14ac:dyDescent="0.15">
      <c r="C194" s="2" t="s">
        <v>627</v>
      </c>
      <c r="D194" s="2" t="s">
        <v>623</v>
      </c>
      <c r="E194" s="11" t="s">
        <v>664</v>
      </c>
      <c r="F194" s="2">
        <v>10</v>
      </c>
      <c r="G194" s="2" t="b">
        <v>0</v>
      </c>
      <c r="H194" s="2"/>
      <c r="I194" s="3">
        <f t="shared" si="29"/>
        <v>0</v>
      </c>
      <c r="J194" s="2" t="str">
        <f t="shared" si="30"/>
        <v>123</v>
      </c>
      <c r="K194" s="2" t="str">
        <f t="shared" si="31"/>
        <v>4</v>
      </c>
      <c r="L194" s="2" t="b">
        <f t="shared" si="32"/>
        <v>0</v>
      </c>
      <c r="M194" s="3">
        <v>0</v>
      </c>
      <c r="N194" s="2" t="s">
        <v>647</v>
      </c>
      <c r="O194" s="2" t="s">
        <v>297</v>
      </c>
      <c r="P194" s="2" t="b">
        <v>0</v>
      </c>
      <c r="Q194" s="3" t="b">
        <f t="shared" si="37"/>
        <v>1</v>
      </c>
      <c r="R194" s="2" t="b">
        <f t="shared" si="38"/>
        <v>1</v>
      </c>
      <c r="S194" s="2" t="b">
        <f t="shared" si="39"/>
        <v>1</v>
      </c>
      <c r="T194" s="2" t="b">
        <f t="shared" si="40"/>
        <v>1</v>
      </c>
    </row>
    <row r="195" spans="2:20" x14ac:dyDescent="0.15">
      <c r="C195" t="s">
        <v>658</v>
      </c>
      <c r="D195" t="s">
        <v>624</v>
      </c>
      <c r="E195" s="9" t="s">
        <v>665</v>
      </c>
      <c r="F195">
        <v>10</v>
      </c>
      <c r="G195" t="b">
        <v>0</v>
      </c>
      <c r="I195" s="1">
        <f t="shared" si="29"/>
        <v>0</v>
      </c>
      <c r="J195" t="str">
        <f t="shared" si="30"/>
        <v>123</v>
      </c>
      <c r="K195" t="str">
        <f t="shared" si="31"/>
        <v>45</v>
      </c>
      <c r="L195" t="b">
        <f t="shared" si="32"/>
        <v>0</v>
      </c>
      <c r="M195" s="1">
        <v>0</v>
      </c>
      <c r="N195" t="s">
        <v>647</v>
      </c>
      <c r="O195" t="s">
        <v>667</v>
      </c>
      <c r="P195" t="b">
        <v>0</v>
      </c>
      <c r="Q195" s="1" t="b">
        <f t="shared" si="37"/>
        <v>1</v>
      </c>
      <c r="R195" t="b">
        <f t="shared" si="38"/>
        <v>1</v>
      </c>
      <c r="S195" t="b">
        <f t="shared" si="39"/>
        <v>1</v>
      </c>
      <c r="T195" t="b">
        <f t="shared" si="40"/>
        <v>1</v>
      </c>
    </row>
    <row r="196" spans="2:20" x14ac:dyDescent="0.15">
      <c r="D196" t="s">
        <v>625</v>
      </c>
      <c r="E196" s="9" t="s">
        <v>666</v>
      </c>
      <c r="F196">
        <v>10</v>
      </c>
      <c r="G196" t="b">
        <v>0</v>
      </c>
      <c r="I196" s="1">
        <f t="shared" si="29"/>
        <v>0</v>
      </c>
      <c r="J196" t="str">
        <f t="shared" si="30"/>
        <v>123</v>
      </c>
      <c r="K196" t="str">
        <f t="shared" si="31"/>
        <v>456</v>
      </c>
      <c r="L196" t="b">
        <f t="shared" si="32"/>
        <v>0</v>
      </c>
      <c r="M196" s="1">
        <v>0</v>
      </c>
      <c r="N196" t="s">
        <v>647</v>
      </c>
      <c r="O196" t="s">
        <v>668</v>
      </c>
      <c r="P196" t="b">
        <v>0</v>
      </c>
      <c r="Q196" s="1" t="b">
        <f t="shared" si="37"/>
        <v>1</v>
      </c>
      <c r="R196" t="b">
        <f t="shared" si="38"/>
        <v>1</v>
      </c>
      <c r="S196" t="b">
        <f t="shared" si="39"/>
        <v>1</v>
      </c>
      <c r="T196" t="b">
        <f t="shared" si="40"/>
        <v>1</v>
      </c>
    </row>
    <row r="197" spans="2:20" x14ac:dyDescent="0.15">
      <c r="C197" s="2" t="s">
        <v>628</v>
      </c>
      <c r="D197" s="2" t="s">
        <v>623</v>
      </c>
      <c r="E197" s="11" t="s">
        <v>669</v>
      </c>
      <c r="F197" s="2">
        <v>10</v>
      </c>
      <c r="G197" s="2" t="b">
        <v>0</v>
      </c>
      <c r="H197" s="2"/>
      <c r="I197" s="3">
        <f t="shared" si="29"/>
        <v>0</v>
      </c>
      <c r="J197" s="2" t="str">
        <f t="shared" si="30"/>
        <v>1</v>
      </c>
      <c r="K197" s="2" t="str">
        <f t="shared" si="31"/>
        <v>2</v>
      </c>
      <c r="L197" s="2" t="b">
        <f t="shared" si="32"/>
        <v>1</v>
      </c>
      <c r="M197" s="3">
        <v>0</v>
      </c>
      <c r="N197" s="2" t="s">
        <v>44</v>
      </c>
      <c r="O197" s="2" t="s">
        <v>290</v>
      </c>
      <c r="P197" s="2" t="b">
        <v>1</v>
      </c>
      <c r="Q197" s="3" t="b">
        <f t="shared" si="37"/>
        <v>1</v>
      </c>
      <c r="R197" s="2" t="b">
        <f t="shared" si="38"/>
        <v>1</v>
      </c>
      <c r="S197" s="2" t="b">
        <f t="shared" si="39"/>
        <v>1</v>
      </c>
      <c r="T197" s="2" t="b">
        <f t="shared" si="40"/>
        <v>1</v>
      </c>
    </row>
    <row r="198" spans="2:20" x14ac:dyDescent="0.15">
      <c r="C198" t="s">
        <v>652</v>
      </c>
      <c r="D198" t="s">
        <v>624</v>
      </c>
      <c r="E198" s="9" t="s">
        <v>670</v>
      </c>
      <c r="F198">
        <v>10</v>
      </c>
      <c r="G198" t="b">
        <v>0</v>
      </c>
      <c r="I198" s="1">
        <f t="shared" si="29"/>
        <v>0</v>
      </c>
      <c r="J198" t="str">
        <f t="shared" si="30"/>
        <v>1</v>
      </c>
      <c r="K198" t="str">
        <f t="shared" si="31"/>
        <v>23</v>
      </c>
      <c r="L198" t="b">
        <f t="shared" si="32"/>
        <v>1</v>
      </c>
      <c r="M198" s="1">
        <v>0</v>
      </c>
      <c r="N198" t="s">
        <v>44</v>
      </c>
      <c r="O198" t="s">
        <v>17</v>
      </c>
      <c r="P198" t="b">
        <v>1</v>
      </c>
      <c r="Q198" s="1" t="b">
        <f t="shared" si="37"/>
        <v>1</v>
      </c>
      <c r="R198" t="b">
        <f t="shared" si="38"/>
        <v>1</v>
      </c>
      <c r="S198" t="b">
        <f t="shared" si="39"/>
        <v>1</v>
      </c>
      <c r="T198" t="b">
        <f t="shared" si="40"/>
        <v>1</v>
      </c>
    </row>
    <row r="199" spans="2:20" x14ac:dyDescent="0.15">
      <c r="D199" t="s">
        <v>625</v>
      </c>
      <c r="E199" s="9" t="s">
        <v>671</v>
      </c>
      <c r="F199">
        <v>10</v>
      </c>
      <c r="G199" t="b">
        <v>0</v>
      </c>
      <c r="I199" s="1">
        <f t="shared" si="29"/>
        <v>0</v>
      </c>
      <c r="J199" t="str">
        <f t="shared" si="30"/>
        <v>1</v>
      </c>
      <c r="K199" t="str">
        <f t="shared" si="31"/>
        <v>234</v>
      </c>
      <c r="L199" t="b">
        <f t="shared" si="32"/>
        <v>1</v>
      </c>
      <c r="M199" s="1">
        <v>0</v>
      </c>
      <c r="N199" t="s">
        <v>44</v>
      </c>
      <c r="O199" t="s">
        <v>656</v>
      </c>
      <c r="P199" t="b">
        <v>1</v>
      </c>
      <c r="Q199" s="1" t="b">
        <f t="shared" si="37"/>
        <v>1</v>
      </c>
      <c r="R199" t="b">
        <f t="shared" si="38"/>
        <v>1</v>
      </c>
      <c r="S199" t="b">
        <f t="shared" si="39"/>
        <v>1</v>
      </c>
      <c r="T199" t="b">
        <f t="shared" si="40"/>
        <v>1</v>
      </c>
    </row>
    <row r="200" spans="2:20" x14ac:dyDescent="0.15">
      <c r="C200" s="2" t="s">
        <v>628</v>
      </c>
      <c r="D200" s="2" t="s">
        <v>623</v>
      </c>
      <c r="E200" s="11" t="s">
        <v>672</v>
      </c>
      <c r="F200" s="2">
        <v>10</v>
      </c>
      <c r="G200" s="2" t="b">
        <v>0</v>
      </c>
      <c r="H200" s="2"/>
      <c r="I200" s="3">
        <f t="shared" si="29"/>
        <v>0</v>
      </c>
      <c r="J200" s="2" t="str">
        <f t="shared" si="30"/>
        <v>12</v>
      </c>
      <c r="K200" s="2" t="str">
        <f t="shared" si="31"/>
        <v>3</v>
      </c>
      <c r="L200" s="2" t="b">
        <f t="shared" si="32"/>
        <v>1</v>
      </c>
      <c r="M200" s="3">
        <v>0</v>
      </c>
      <c r="N200" s="2" t="s">
        <v>646</v>
      </c>
      <c r="O200" s="2" t="s">
        <v>80</v>
      </c>
      <c r="P200" s="2" t="b">
        <v>1</v>
      </c>
      <c r="Q200" s="3" t="b">
        <f t="shared" ref="Q200:Q205" si="41">getText(I200)=getText(M200)</f>
        <v>1</v>
      </c>
      <c r="R200" s="2" t="b">
        <f t="shared" ref="R200:R205" si="42">getText(J200)=getText(N200)</f>
        <v>1</v>
      </c>
      <c r="S200" s="2" t="b">
        <f t="shared" ref="S200:S205" si="43">getText(K200)=getText(O200)</f>
        <v>1</v>
      </c>
      <c r="T200" s="2" t="b">
        <f t="shared" ref="T200:T205" si="44">getText(L200)=getText(P200)</f>
        <v>1</v>
      </c>
    </row>
    <row r="201" spans="2:20" x14ac:dyDescent="0.15">
      <c r="C201" t="s">
        <v>657</v>
      </c>
      <c r="D201" t="s">
        <v>624</v>
      </c>
      <c r="E201" s="9" t="s">
        <v>673</v>
      </c>
      <c r="F201">
        <v>10</v>
      </c>
      <c r="G201" t="b">
        <v>0</v>
      </c>
      <c r="I201" s="1">
        <f t="shared" si="29"/>
        <v>0</v>
      </c>
      <c r="J201" t="str">
        <f t="shared" si="30"/>
        <v>12</v>
      </c>
      <c r="K201" t="str">
        <f t="shared" si="31"/>
        <v>34</v>
      </c>
      <c r="L201" t="b">
        <f t="shared" si="32"/>
        <v>1</v>
      </c>
      <c r="M201" s="1">
        <v>0</v>
      </c>
      <c r="N201" t="s">
        <v>646</v>
      </c>
      <c r="O201" t="s">
        <v>662</v>
      </c>
      <c r="P201" t="b">
        <v>1</v>
      </c>
      <c r="Q201" s="1" t="b">
        <f t="shared" si="41"/>
        <v>1</v>
      </c>
      <c r="R201" t="b">
        <f t="shared" si="42"/>
        <v>1</v>
      </c>
      <c r="S201" t="b">
        <f t="shared" si="43"/>
        <v>1</v>
      </c>
      <c r="T201" t="b">
        <f t="shared" si="44"/>
        <v>1</v>
      </c>
    </row>
    <row r="202" spans="2:20" x14ac:dyDescent="0.15">
      <c r="D202" t="s">
        <v>625</v>
      </c>
      <c r="E202" s="9" t="s">
        <v>674</v>
      </c>
      <c r="F202">
        <v>10</v>
      </c>
      <c r="G202" t="b">
        <v>0</v>
      </c>
      <c r="I202" s="1">
        <f t="shared" si="29"/>
        <v>0</v>
      </c>
      <c r="J202" t="str">
        <f t="shared" si="30"/>
        <v>12</v>
      </c>
      <c r="K202" t="str">
        <f t="shared" si="31"/>
        <v>345</v>
      </c>
      <c r="L202" t="b">
        <f t="shared" si="32"/>
        <v>1</v>
      </c>
      <c r="M202" s="1">
        <v>0</v>
      </c>
      <c r="N202" t="s">
        <v>646</v>
      </c>
      <c r="O202" t="s">
        <v>663</v>
      </c>
      <c r="P202" t="b">
        <v>1</v>
      </c>
      <c r="Q202" s="1" t="b">
        <f t="shared" si="41"/>
        <v>1</v>
      </c>
      <c r="R202" t="b">
        <f t="shared" si="42"/>
        <v>1</v>
      </c>
      <c r="S202" t="b">
        <f t="shared" si="43"/>
        <v>1</v>
      </c>
      <c r="T202" t="b">
        <f t="shared" si="44"/>
        <v>1</v>
      </c>
    </row>
    <row r="203" spans="2:20" x14ac:dyDescent="0.15">
      <c r="C203" s="2" t="s">
        <v>628</v>
      </c>
      <c r="D203" s="2" t="s">
        <v>623</v>
      </c>
      <c r="E203" s="11" t="s">
        <v>675</v>
      </c>
      <c r="F203" s="2">
        <v>10</v>
      </c>
      <c r="G203" s="2" t="b">
        <v>0</v>
      </c>
      <c r="H203" s="2"/>
      <c r="I203" s="3">
        <f t="shared" si="29"/>
        <v>0</v>
      </c>
      <c r="J203" s="2" t="str">
        <f t="shared" si="30"/>
        <v>123</v>
      </c>
      <c r="K203" s="2" t="str">
        <f t="shared" si="31"/>
        <v>4</v>
      </c>
      <c r="L203" s="2" t="b">
        <f t="shared" si="32"/>
        <v>1</v>
      </c>
      <c r="M203" s="3">
        <v>0</v>
      </c>
      <c r="N203" s="2" t="s">
        <v>647</v>
      </c>
      <c r="O203" s="2" t="s">
        <v>297</v>
      </c>
      <c r="P203" s="2" t="b">
        <v>1</v>
      </c>
      <c r="Q203" s="3" t="b">
        <f t="shared" si="41"/>
        <v>1</v>
      </c>
      <c r="R203" s="2" t="b">
        <f t="shared" si="42"/>
        <v>1</v>
      </c>
      <c r="S203" s="2" t="b">
        <f t="shared" si="43"/>
        <v>1</v>
      </c>
      <c r="T203" s="2" t="b">
        <f t="shared" si="44"/>
        <v>1</v>
      </c>
    </row>
    <row r="204" spans="2:20" x14ac:dyDescent="0.15">
      <c r="C204" t="s">
        <v>658</v>
      </c>
      <c r="D204" t="s">
        <v>624</v>
      </c>
      <c r="E204" s="9" t="s">
        <v>676</v>
      </c>
      <c r="F204">
        <v>10</v>
      </c>
      <c r="G204" t="b">
        <v>0</v>
      </c>
      <c r="I204" s="1">
        <f t="shared" si="29"/>
        <v>0</v>
      </c>
      <c r="J204" t="str">
        <f t="shared" si="30"/>
        <v>123</v>
      </c>
      <c r="K204" t="str">
        <f t="shared" si="31"/>
        <v>45</v>
      </c>
      <c r="L204" t="b">
        <f t="shared" si="32"/>
        <v>1</v>
      </c>
      <c r="M204" s="1">
        <v>0</v>
      </c>
      <c r="N204" t="s">
        <v>647</v>
      </c>
      <c r="O204" t="s">
        <v>667</v>
      </c>
      <c r="P204" t="b">
        <v>1</v>
      </c>
      <c r="Q204" s="1" t="b">
        <f t="shared" si="41"/>
        <v>1</v>
      </c>
      <c r="R204" t="b">
        <f t="shared" si="42"/>
        <v>1</v>
      </c>
      <c r="S204" t="b">
        <f t="shared" si="43"/>
        <v>1</v>
      </c>
      <c r="T204" t="b">
        <f t="shared" si="44"/>
        <v>1</v>
      </c>
    </row>
    <row r="205" spans="2:20" x14ac:dyDescent="0.15">
      <c r="D205" t="s">
        <v>625</v>
      </c>
      <c r="E205" s="9" t="s">
        <v>677</v>
      </c>
      <c r="F205">
        <v>10</v>
      </c>
      <c r="G205" t="b">
        <v>0</v>
      </c>
      <c r="I205" s="1">
        <f t="shared" si="29"/>
        <v>0</v>
      </c>
      <c r="J205" t="str">
        <f t="shared" si="30"/>
        <v>123</v>
      </c>
      <c r="K205" t="str">
        <f t="shared" si="31"/>
        <v>456</v>
      </c>
      <c r="L205" t="b">
        <f t="shared" si="32"/>
        <v>1</v>
      </c>
      <c r="M205" s="1">
        <v>0</v>
      </c>
      <c r="N205" t="s">
        <v>647</v>
      </c>
      <c r="O205" t="s">
        <v>668</v>
      </c>
      <c r="P205" t="b">
        <v>1</v>
      </c>
      <c r="Q205" s="1" t="b">
        <f t="shared" si="41"/>
        <v>1</v>
      </c>
      <c r="R205" t="b">
        <f t="shared" si="42"/>
        <v>1</v>
      </c>
      <c r="S205" t="b">
        <f t="shared" si="43"/>
        <v>1</v>
      </c>
      <c r="T205" t="b">
        <f t="shared" si="44"/>
        <v>1</v>
      </c>
    </row>
    <row r="206" spans="2:20" x14ac:dyDescent="0.15">
      <c r="B206" s="2" t="s">
        <v>678</v>
      </c>
      <c r="C206" s="2" t="s">
        <v>679</v>
      </c>
      <c r="D206" s="2"/>
      <c r="E206" s="11" t="s">
        <v>681</v>
      </c>
      <c r="F206" s="2">
        <v>10</v>
      </c>
      <c r="G206" s="2" t="b">
        <v>0</v>
      </c>
      <c r="H206" s="2"/>
      <c r="I206" s="3">
        <f t="shared" ref="I206:I209" si="45">TESTseparateToIntAndFrc(E206,F206,G206)</f>
        <v>0</v>
      </c>
      <c r="J206" s="2" t="str">
        <f t="shared" ref="J206:J209" si="46">TESTseparateToIntAndFrcByRef1(E206,F206,G206)</f>
        <v>001</v>
      </c>
      <c r="K206" s="2" t="str">
        <f t="shared" ref="K206:K209" si="47">TESTseparateToIntAndFrcByRef2(E206,F206,G206)</f>
        <v>100</v>
      </c>
      <c r="L206" s="2" t="b">
        <f t="shared" ref="L206:L209" si="48">TESTseparateToIntAndFrcByRef3(E206,F206,G206)</f>
        <v>0</v>
      </c>
      <c r="M206" s="3">
        <v>0</v>
      </c>
      <c r="N206" s="2" t="s">
        <v>81</v>
      </c>
      <c r="O206" s="2" t="s">
        <v>21</v>
      </c>
      <c r="P206" s="2" t="b">
        <v>0</v>
      </c>
      <c r="Q206" s="3" t="b">
        <f t="shared" ref="Q206:Q210" si="49">getText(I206)=getText(M206)</f>
        <v>1</v>
      </c>
      <c r="R206" s="2" t="b">
        <f t="shared" ref="R206:R210" si="50">getText(J206)=getText(N206)</f>
        <v>1</v>
      </c>
      <c r="S206" s="2" t="b">
        <f t="shared" ref="S206:S210" si="51">getText(K206)=getText(O206)</f>
        <v>1</v>
      </c>
      <c r="T206" s="2" t="b">
        <f t="shared" ref="T206:T210" si="52">getText(L206)=getText(P206)</f>
        <v>1</v>
      </c>
    </row>
    <row r="207" spans="2:20" x14ac:dyDescent="0.15">
      <c r="C207" t="s">
        <v>680</v>
      </c>
      <c r="E207" s="9" t="s">
        <v>681</v>
      </c>
      <c r="F207">
        <v>10</v>
      </c>
      <c r="G207" t="b">
        <v>1</v>
      </c>
      <c r="I207" s="1">
        <f t="shared" si="45"/>
        <v>0</v>
      </c>
      <c r="J207" t="str">
        <f t="shared" si="46"/>
        <v>1</v>
      </c>
      <c r="K207" t="str">
        <f t="shared" si="47"/>
        <v>1</v>
      </c>
      <c r="L207" t="b">
        <f t="shared" si="48"/>
        <v>0</v>
      </c>
      <c r="M207" s="1">
        <v>0</v>
      </c>
      <c r="N207" t="s">
        <v>44</v>
      </c>
      <c r="O207" t="s">
        <v>44</v>
      </c>
      <c r="P207" t="b">
        <v>0</v>
      </c>
      <c r="Q207" s="1" t="b">
        <f t="shared" si="49"/>
        <v>1</v>
      </c>
      <c r="R207" t="b">
        <f t="shared" si="50"/>
        <v>1</v>
      </c>
      <c r="S207" t="b">
        <f t="shared" si="51"/>
        <v>1</v>
      </c>
      <c r="T207" t="b">
        <f t="shared" si="52"/>
        <v>1</v>
      </c>
    </row>
    <row r="208" spans="2:20" x14ac:dyDescent="0.15">
      <c r="C208" t="s">
        <v>682</v>
      </c>
      <c r="E208" s="9" t="s">
        <v>683</v>
      </c>
      <c r="F208">
        <v>10</v>
      </c>
      <c r="G208" t="b">
        <v>1</v>
      </c>
      <c r="I208" s="1">
        <f t="shared" si="45"/>
        <v>0</v>
      </c>
      <c r="J208" t="str">
        <f t="shared" si="46"/>
        <v>0</v>
      </c>
      <c r="K208" t="str">
        <f t="shared" si="47"/>
        <v>1</v>
      </c>
      <c r="L208" t="b">
        <f t="shared" si="48"/>
        <v>0</v>
      </c>
      <c r="M208" s="1">
        <v>0</v>
      </c>
      <c r="N208" t="s">
        <v>14</v>
      </c>
      <c r="O208" t="s">
        <v>44</v>
      </c>
      <c r="P208" t="b">
        <v>0</v>
      </c>
      <c r="Q208" s="1" t="b">
        <f t="shared" si="49"/>
        <v>1</v>
      </c>
      <c r="R208" t="b">
        <f t="shared" si="50"/>
        <v>1</v>
      </c>
      <c r="S208" t="b">
        <f t="shared" si="51"/>
        <v>1</v>
      </c>
      <c r="T208" t="b">
        <f t="shared" si="52"/>
        <v>1</v>
      </c>
    </row>
    <row r="209" spans="1:20" x14ac:dyDescent="0.15">
      <c r="C209" t="s">
        <v>684</v>
      </c>
      <c r="E209" s="9" t="s">
        <v>686</v>
      </c>
      <c r="F209">
        <v>10</v>
      </c>
      <c r="G209" t="b">
        <v>1</v>
      </c>
      <c r="I209" s="1">
        <f t="shared" si="45"/>
        <v>0</v>
      </c>
      <c r="J209" t="str">
        <f t="shared" si="46"/>
        <v>1</v>
      </c>
      <c r="K209" t="str">
        <f t="shared" si="47"/>
        <v/>
      </c>
      <c r="L209" t="b">
        <f t="shared" si="48"/>
        <v>0</v>
      </c>
      <c r="M209" s="1">
        <v>0</v>
      </c>
      <c r="N209" t="s">
        <v>44</v>
      </c>
      <c r="O209" t="s">
        <v>45</v>
      </c>
      <c r="P209" t="b">
        <v>0</v>
      </c>
      <c r="Q209" s="1" t="b">
        <f t="shared" si="49"/>
        <v>1</v>
      </c>
      <c r="R209" t="b">
        <f t="shared" si="50"/>
        <v>1</v>
      </c>
      <c r="S209" t="b">
        <f t="shared" si="51"/>
        <v>1</v>
      </c>
      <c r="T209" t="b">
        <f t="shared" si="52"/>
        <v>1</v>
      </c>
    </row>
    <row r="210" spans="1:20" x14ac:dyDescent="0.15">
      <c r="C210" t="s">
        <v>685</v>
      </c>
      <c r="E210" s="9" t="s">
        <v>687</v>
      </c>
      <c r="F210">
        <v>10</v>
      </c>
      <c r="G210" t="b">
        <v>1</v>
      </c>
      <c r="I210" s="1">
        <f t="shared" ref="I210" si="53">TESTseparateToIntAndFrc(E210,F210,G210)</f>
        <v>0</v>
      </c>
      <c r="J210" t="str">
        <f t="shared" ref="J210" si="54">TESTseparateToIntAndFrcByRef1(E210,F210,G210)</f>
        <v>0</v>
      </c>
      <c r="K210" t="str">
        <f t="shared" ref="K210" si="55">TESTseparateToIntAndFrcByRef2(E210,F210,G210)</f>
        <v/>
      </c>
      <c r="L210" t="b">
        <f t="shared" ref="L210" si="56">TESTseparateToIntAndFrcByRef3(E210,F210,G210)</f>
        <v>0</v>
      </c>
      <c r="M210" s="1">
        <v>0</v>
      </c>
      <c r="N210" t="s">
        <v>14</v>
      </c>
      <c r="O210" t="s">
        <v>45</v>
      </c>
      <c r="P210" t="b">
        <v>0</v>
      </c>
      <c r="Q210" s="1" t="b">
        <f t="shared" si="49"/>
        <v>1</v>
      </c>
      <c r="R210" t="b">
        <f t="shared" si="50"/>
        <v>1</v>
      </c>
      <c r="S210" t="b">
        <f t="shared" si="51"/>
        <v>1</v>
      </c>
      <c r="T210" t="b">
        <f t="shared" si="52"/>
        <v>1</v>
      </c>
    </row>
    <row r="211" spans="1:20" s="2" customFormat="1" x14ac:dyDescent="0.15">
      <c r="A211" s="2" t="s">
        <v>900</v>
      </c>
      <c r="B211" s="2" t="s">
        <v>561</v>
      </c>
      <c r="D211" s="2" t="s">
        <v>554</v>
      </c>
      <c r="E211" s="3">
        <v>1</v>
      </c>
      <c r="F211" s="2">
        <v>1</v>
      </c>
      <c r="I211" s="3">
        <f t="shared" ref="I211:I242" si="57">TESTcheckBaseNNumber(E211,F211)</f>
        <v>0</v>
      </c>
      <c r="J211" s="2" t="b">
        <f t="shared" ref="J211:J242" si="58">TESTcheckBaseNNumberByRef1(E211,F211)</f>
        <v>0</v>
      </c>
      <c r="K211" s="2">
        <f t="shared" ref="K211:K242" si="59">TESTcheckBaseNNumberByRef2(E211,F211)</f>
        <v>0</v>
      </c>
      <c r="L211" s="2" t="e">
        <f t="shared" ref="L211:L242" si="60">TESTcheckBaseNNumberByRef3(E211,F211)</f>
        <v>#NUM!</v>
      </c>
      <c r="M211" s="3">
        <v>0</v>
      </c>
      <c r="N211" s="2" t="b">
        <v>0</v>
      </c>
      <c r="O211" s="2">
        <v>0</v>
      </c>
      <c r="P211" s="2" t="e">
        <v>#NUM!</v>
      </c>
      <c r="Q211" s="3" t="b">
        <f t="shared" ref="Q211:R215" si="61">getText(I211)=getText(M211)</f>
        <v>1</v>
      </c>
      <c r="R211" s="2" t="b">
        <f t="shared" si="61"/>
        <v>1</v>
      </c>
      <c r="S211" s="2" t="b">
        <f t="shared" ref="S211:T215" si="62">getText(K211)=getText(O211)</f>
        <v>1</v>
      </c>
      <c r="T211" s="2" t="b">
        <f t="shared" si="62"/>
        <v>1</v>
      </c>
    </row>
    <row r="212" spans="1:20" x14ac:dyDescent="0.15">
      <c r="D212" t="s">
        <v>555</v>
      </c>
      <c r="E212" s="1">
        <v>1</v>
      </c>
      <c r="F212">
        <v>2</v>
      </c>
      <c r="I212" s="1">
        <f t="shared" si="57"/>
        <v>2</v>
      </c>
      <c r="J212" t="b">
        <f t="shared" si="58"/>
        <v>0</v>
      </c>
      <c r="K212">
        <f t="shared" si="59"/>
        <v>0</v>
      </c>
      <c r="L212">
        <f t="shared" si="60"/>
        <v>0</v>
      </c>
      <c r="M212" s="1">
        <v>2</v>
      </c>
      <c r="N212" t="b">
        <v>0</v>
      </c>
      <c r="O212">
        <v>0</v>
      </c>
      <c r="P212">
        <v>0</v>
      </c>
      <c r="Q212" s="1" t="b">
        <f t="shared" si="61"/>
        <v>1</v>
      </c>
      <c r="R212" t="b">
        <f t="shared" si="61"/>
        <v>1</v>
      </c>
      <c r="S212" t="b">
        <f t="shared" si="62"/>
        <v>1</v>
      </c>
      <c r="T212" t="b">
        <f t="shared" si="62"/>
        <v>1</v>
      </c>
    </row>
    <row r="213" spans="1:20" x14ac:dyDescent="0.15">
      <c r="D213" t="s">
        <v>556</v>
      </c>
      <c r="E213" s="1">
        <v>1</v>
      </c>
      <c r="F213">
        <v>10</v>
      </c>
      <c r="I213" s="1">
        <f t="shared" si="57"/>
        <v>2</v>
      </c>
      <c r="J213" t="b">
        <f t="shared" si="58"/>
        <v>0</v>
      </c>
      <c r="K213">
        <f t="shared" si="59"/>
        <v>0</v>
      </c>
      <c r="L213">
        <f t="shared" si="60"/>
        <v>0</v>
      </c>
      <c r="M213" s="1">
        <v>2</v>
      </c>
      <c r="N213" t="b">
        <v>0</v>
      </c>
      <c r="O213">
        <v>0</v>
      </c>
      <c r="P213">
        <v>0</v>
      </c>
      <c r="Q213" s="1" t="b">
        <f t="shared" si="61"/>
        <v>1</v>
      </c>
      <c r="R213" t="b">
        <f t="shared" si="61"/>
        <v>1</v>
      </c>
      <c r="S213" t="b">
        <f t="shared" si="62"/>
        <v>1</v>
      </c>
      <c r="T213" t="b">
        <f t="shared" si="62"/>
        <v>1</v>
      </c>
    </row>
    <row r="214" spans="1:20" x14ac:dyDescent="0.15">
      <c r="D214" t="s">
        <v>557</v>
      </c>
      <c r="E214" s="1">
        <v>1</v>
      </c>
      <c r="F214">
        <v>16</v>
      </c>
      <c r="I214" s="1">
        <f t="shared" si="57"/>
        <v>2</v>
      </c>
      <c r="J214" t="b">
        <f t="shared" si="58"/>
        <v>0</v>
      </c>
      <c r="K214">
        <f t="shared" si="59"/>
        <v>0</v>
      </c>
      <c r="L214">
        <f t="shared" si="60"/>
        <v>0</v>
      </c>
      <c r="M214" s="1">
        <v>2</v>
      </c>
      <c r="N214" t="b">
        <v>0</v>
      </c>
      <c r="O214">
        <v>0</v>
      </c>
      <c r="P214">
        <v>0</v>
      </c>
      <c r="Q214" s="1" t="b">
        <f t="shared" si="61"/>
        <v>1</v>
      </c>
      <c r="R214" t="b">
        <f t="shared" si="61"/>
        <v>1</v>
      </c>
      <c r="S214" t="b">
        <f t="shared" si="62"/>
        <v>1</v>
      </c>
      <c r="T214" t="b">
        <f t="shared" si="62"/>
        <v>1</v>
      </c>
    </row>
    <row r="215" spans="1:20" x14ac:dyDescent="0.15">
      <c r="D215" t="s">
        <v>558</v>
      </c>
      <c r="E215" s="1">
        <v>1</v>
      </c>
      <c r="F215">
        <v>17</v>
      </c>
      <c r="I215" s="1">
        <f t="shared" si="57"/>
        <v>0</v>
      </c>
      <c r="J215" t="b">
        <f t="shared" si="58"/>
        <v>0</v>
      </c>
      <c r="K215">
        <f t="shared" si="59"/>
        <v>0</v>
      </c>
      <c r="L215" t="e">
        <f t="shared" si="60"/>
        <v>#NUM!</v>
      </c>
      <c r="M215" s="1">
        <v>0</v>
      </c>
      <c r="N215" t="b">
        <v>0</v>
      </c>
      <c r="O215">
        <v>0</v>
      </c>
      <c r="P215" t="e">
        <v>#NUM!</v>
      </c>
      <c r="Q215" s="1" t="b">
        <f t="shared" si="61"/>
        <v>1</v>
      </c>
      <c r="R215" t="b">
        <f t="shared" si="61"/>
        <v>1</v>
      </c>
      <c r="S215" t="b">
        <f t="shared" si="62"/>
        <v>1</v>
      </c>
      <c r="T215" t="b">
        <f t="shared" si="62"/>
        <v>1</v>
      </c>
    </row>
    <row r="216" spans="1:20" x14ac:dyDescent="0.15">
      <c r="B216" s="2" t="s">
        <v>560</v>
      </c>
      <c r="C216" s="2"/>
      <c r="D216" s="2"/>
      <c r="E216" s="3"/>
      <c r="F216" s="2">
        <v>10</v>
      </c>
      <c r="G216" s="2"/>
      <c r="H216" s="2"/>
      <c r="I216" s="3">
        <f t="shared" si="57"/>
        <v>0</v>
      </c>
      <c r="J216" s="2" t="b">
        <f t="shared" si="58"/>
        <v>0</v>
      </c>
      <c r="K216" s="2">
        <f t="shared" si="59"/>
        <v>0</v>
      </c>
      <c r="L216" s="2" t="e">
        <f t="shared" si="60"/>
        <v>#NULL!</v>
      </c>
      <c r="M216" s="3">
        <v>0</v>
      </c>
      <c r="N216" s="2" t="b">
        <v>0</v>
      </c>
      <c r="O216" s="2">
        <v>0</v>
      </c>
      <c r="P216" s="2" t="e">
        <v>#NULL!</v>
      </c>
      <c r="Q216" s="3" t="b">
        <f t="shared" ref="Q216" si="63">getText(I216)=getText(M216)</f>
        <v>1</v>
      </c>
      <c r="R216" s="2" t="b">
        <f t="shared" ref="R216" si="64">getText(J216)=getText(N216)</f>
        <v>1</v>
      </c>
      <c r="S216" s="2" t="b">
        <f t="shared" ref="S216:T216" si="65">getText(K216)=getText(O216)</f>
        <v>1</v>
      </c>
      <c r="T216" s="2" t="b">
        <f t="shared" si="65"/>
        <v>1</v>
      </c>
    </row>
    <row r="217" spans="1:20" x14ac:dyDescent="0.15">
      <c r="B217" s="2" t="s">
        <v>559</v>
      </c>
      <c r="C217" s="2" t="s">
        <v>564</v>
      </c>
      <c r="D217" s="2" t="s">
        <v>555</v>
      </c>
      <c r="E217" s="3">
        <v>0</v>
      </c>
      <c r="F217" s="2">
        <v>2</v>
      </c>
      <c r="G217" s="2"/>
      <c r="H217" s="2"/>
      <c r="I217" s="3">
        <f t="shared" si="57"/>
        <v>2</v>
      </c>
      <c r="J217" s="2" t="b">
        <f t="shared" si="58"/>
        <v>0</v>
      </c>
      <c r="K217" s="2">
        <f t="shared" si="59"/>
        <v>0</v>
      </c>
      <c r="L217" s="2">
        <f t="shared" si="60"/>
        <v>0</v>
      </c>
      <c r="M217" s="3">
        <v>2</v>
      </c>
      <c r="N217" s="2" t="b">
        <v>0</v>
      </c>
      <c r="O217" s="2">
        <v>0</v>
      </c>
      <c r="P217" s="2">
        <v>0</v>
      </c>
      <c r="Q217" s="3" t="b">
        <f t="shared" ref="Q217" si="66">getText(I217)=getText(M217)</f>
        <v>1</v>
      </c>
      <c r="R217" s="2" t="b">
        <f t="shared" ref="R217" si="67">getText(J217)=getText(N217)</f>
        <v>1</v>
      </c>
      <c r="S217" s="2" t="b">
        <f t="shared" ref="S217:T217" si="68">getText(K217)=getText(O217)</f>
        <v>1</v>
      </c>
      <c r="T217" s="2" t="b">
        <f t="shared" si="68"/>
        <v>1</v>
      </c>
    </row>
    <row r="218" spans="1:20" x14ac:dyDescent="0.15">
      <c r="B218" s="6"/>
      <c r="C218" s="6"/>
      <c r="D218" s="7" t="s">
        <v>562</v>
      </c>
      <c r="E218" s="1">
        <v>0</v>
      </c>
      <c r="F218" s="7">
        <v>9</v>
      </c>
      <c r="G218" s="6"/>
      <c r="H218" s="6"/>
      <c r="I218" s="1">
        <f t="shared" si="57"/>
        <v>2</v>
      </c>
      <c r="J218" s="6" t="b">
        <f t="shared" si="58"/>
        <v>0</v>
      </c>
      <c r="K218" s="6">
        <f t="shared" si="59"/>
        <v>0</v>
      </c>
      <c r="L218" s="6">
        <f t="shared" si="60"/>
        <v>0</v>
      </c>
      <c r="M218" s="1">
        <v>2</v>
      </c>
      <c r="N218" s="6" t="b">
        <v>0</v>
      </c>
      <c r="O218" s="6">
        <v>0</v>
      </c>
      <c r="P218" s="6">
        <v>0</v>
      </c>
      <c r="Q218" s="1" t="b">
        <f t="shared" ref="Q218:Q233" si="69">getText(I218)=getText(M218)</f>
        <v>1</v>
      </c>
      <c r="R218" s="6" t="b">
        <f t="shared" ref="R218:R233" si="70">getText(J218)=getText(N218)</f>
        <v>1</v>
      </c>
      <c r="S218" s="6" t="b">
        <f t="shared" ref="S218:S233" si="71">getText(K218)=getText(O218)</f>
        <v>1</v>
      </c>
      <c r="T218" s="6" t="b">
        <f t="shared" ref="T218:T233" si="72">getText(L218)=getText(P218)</f>
        <v>1</v>
      </c>
    </row>
    <row r="219" spans="1:20" x14ac:dyDescent="0.15">
      <c r="D219" t="s">
        <v>556</v>
      </c>
      <c r="E219" s="1">
        <v>0</v>
      </c>
      <c r="F219" s="7">
        <v>10</v>
      </c>
      <c r="I219" s="1">
        <f t="shared" si="57"/>
        <v>2</v>
      </c>
      <c r="J219" t="b">
        <f t="shared" si="58"/>
        <v>0</v>
      </c>
      <c r="K219">
        <f t="shared" si="59"/>
        <v>0</v>
      </c>
      <c r="L219">
        <f t="shared" si="60"/>
        <v>0</v>
      </c>
      <c r="M219" s="1">
        <v>2</v>
      </c>
      <c r="N219" t="b">
        <v>0</v>
      </c>
      <c r="O219">
        <v>0</v>
      </c>
      <c r="P219">
        <v>0</v>
      </c>
      <c r="Q219" s="1" t="b">
        <f t="shared" si="69"/>
        <v>1</v>
      </c>
      <c r="R219" t="b">
        <f t="shared" si="70"/>
        <v>1</v>
      </c>
      <c r="S219" t="b">
        <f t="shared" si="71"/>
        <v>1</v>
      </c>
      <c r="T219" t="b">
        <f t="shared" si="72"/>
        <v>1</v>
      </c>
    </row>
    <row r="220" spans="1:20" x14ac:dyDescent="0.15">
      <c r="D220" t="s">
        <v>563</v>
      </c>
      <c r="E220" s="1">
        <v>0</v>
      </c>
      <c r="F220" s="7">
        <v>11</v>
      </c>
      <c r="I220" s="1">
        <f t="shared" si="57"/>
        <v>2</v>
      </c>
      <c r="J220" t="b">
        <f t="shared" si="58"/>
        <v>0</v>
      </c>
      <c r="K220">
        <f t="shared" si="59"/>
        <v>0</v>
      </c>
      <c r="L220">
        <f t="shared" si="60"/>
        <v>0</v>
      </c>
      <c r="M220" s="1">
        <v>2</v>
      </c>
      <c r="N220" t="b">
        <v>0</v>
      </c>
      <c r="O220">
        <v>0</v>
      </c>
      <c r="P220">
        <v>0</v>
      </c>
      <c r="Q220" s="1" t="b">
        <f t="shared" si="69"/>
        <v>1</v>
      </c>
      <c r="R220" t="b">
        <f t="shared" si="70"/>
        <v>1</v>
      </c>
      <c r="S220" t="b">
        <f t="shared" si="71"/>
        <v>1</v>
      </c>
      <c r="T220" t="b">
        <f t="shared" si="72"/>
        <v>1</v>
      </c>
    </row>
    <row r="221" spans="1:20" x14ac:dyDescent="0.15">
      <c r="D221" t="s">
        <v>557</v>
      </c>
      <c r="E221" s="1">
        <v>0</v>
      </c>
      <c r="F221" s="7">
        <v>16</v>
      </c>
      <c r="I221" s="1">
        <f t="shared" si="57"/>
        <v>2</v>
      </c>
      <c r="J221" t="b">
        <f t="shared" si="58"/>
        <v>0</v>
      </c>
      <c r="K221">
        <f t="shared" si="59"/>
        <v>0</v>
      </c>
      <c r="L221">
        <f t="shared" si="60"/>
        <v>0</v>
      </c>
      <c r="M221" s="1">
        <v>2</v>
      </c>
      <c r="N221" t="b">
        <v>0</v>
      </c>
      <c r="O221">
        <v>0</v>
      </c>
      <c r="P221">
        <v>0</v>
      </c>
      <c r="Q221" s="1" t="b">
        <f t="shared" si="69"/>
        <v>1</v>
      </c>
      <c r="R221" t="b">
        <f t="shared" si="70"/>
        <v>1</v>
      </c>
      <c r="S221" t="b">
        <f t="shared" si="71"/>
        <v>1</v>
      </c>
      <c r="T221" t="b">
        <f t="shared" si="72"/>
        <v>1</v>
      </c>
    </row>
    <row r="222" spans="1:20" x14ac:dyDescent="0.15">
      <c r="C222" s="2" t="s">
        <v>565</v>
      </c>
      <c r="D222" s="2" t="s">
        <v>555</v>
      </c>
      <c r="E222" s="11">
        <v>1</v>
      </c>
      <c r="F222" s="2">
        <v>2</v>
      </c>
      <c r="G222" s="2"/>
      <c r="H222" s="2"/>
      <c r="I222" s="3">
        <f t="shared" si="57"/>
        <v>2</v>
      </c>
      <c r="J222" s="2" t="b">
        <f t="shared" si="58"/>
        <v>0</v>
      </c>
      <c r="K222" s="2">
        <f t="shared" si="59"/>
        <v>0</v>
      </c>
      <c r="L222" s="2">
        <f t="shared" si="60"/>
        <v>0</v>
      </c>
      <c r="M222" s="3">
        <v>2</v>
      </c>
      <c r="N222" s="2" t="b">
        <v>0</v>
      </c>
      <c r="O222" s="2">
        <v>0</v>
      </c>
      <c r="P222" s="2">
        <v>0</v>
      </c>
      <c r="Q222" s="3" t="b">
        <f t="shared" si="69"/>
        <v>1</v>
      </c>
      <c r="R222" s="2" t="b">
        <f t="shared" si="70"/>
        <v>1</v>
      </c>
      <c r="S222" s="2" t="b">
        <f t="shared" si="71"/>
        <v>1</v>
      </c>
      <c r="T222" s="2" t="b">
        <f t="shared" si="72"/>
        <v>1</v>
      </c>
    </row>
    <row r="223" spans="1:20" x14ac:dyDescent="0.15">
      <c r="C223" s="6"/>
      <c r="D223" s="7" t="s">
        <v>562</v>
      </c>
      <c r="E223" s="9" t="s">
        <v>586</v>
      </c>
      <c r="F223" s="7">
        <v>9</v>
      </c>
      <c r="G223" s="6"/>
      <c r="H223" s="6"/>
      <c r="I223" s="1">
        <f t="shared" si="57"/>
        <v>2</v>
      </c>
      <c r="J223" s="6" t="b">
        <f t="shared" si="58"/>
        <v>0</v>
      </c>
      <c r="K223" s="6">
        <f t="shared" si="59"/>
        <v>0</v>
      </c>
      <c r="L223" s="6">
        <f t="shared" si="60"/>
        <v>0</v>
      </c>
      <c r="M223" s="1">
        <v>2</v>
      </c>
      <c r="N223" s="6" t="b">
        <v>0</v>
      </c>
      <c r="O223" s="6">
        <v>0</v>
      </c>
      <c r="P223" s="6">
        <v>0</v>
      </c>
      <c r="Q223" s="1" t="b">
        <f t="shared" si="69"/>
        <v>1</v>
      </c>
      <c r="R223" s="6" t="b">
        <f t="shared" si="70"/>
        <v>1</v>
      </c>
      <c r="S223" s="6" t="b">
        <f t="shared" si="71"/>
        <v>1</v>
      </c>
      <c r="T223" s="6" t="b">
        <f t="shared" si="72"/>
        <v>1</v>
      </c>
    </row>
    <row r="224" spans="1:20" x14ac:dyDescent="0.15">
      <c r="D224" t="s">
        <v>556</v>
      </c>
      <c r="E224" s="9">
        <v>9</v>
      </c>
      <c r="F224" s="7">
        <v>10</v>
      </c>
      <c r="I224" s="1">
        <f t="shared" si="57"/>
        <v>2</v>
      </c>
      <c r="J224" t="b">
        <f t="shared" si="58"/>
        <v>0</v>
      </c>
      <c r="K224">
        <f t="shared" si="59"/>
        <v>0</v>
      </c>
      <c r="L224">
        <f t="shared" si="60"/>
        <v>0</v>
      </c>
      <c r="M224" s="1">
        <v>2</v>
      </c>
      <c r="N224" t="b">
        <v>0</v>
      </c>
      <c r="O224">
        <v>0</v>
      </c>
      <c r="P224">
        <v>0</v>
      </c>
      <c r="Q224" s="1" t="b">
        <f t="shared" si="69"/>
        <v>1</v>
      </c>
      <c r="R224" t="b">
        <f t="shared" si="70"/>
        <v>1</v>
      </c>
      <c r="S224" t="b">
        <f t="shared" si="71"/>
        <v>1</v>
      </c>
      <c r="T224" t="b">
        <f t="shared" si="72"/>
        <v>1</v>
      </c>
    </row>
    <row r="225" spans="2:20" x14ac:dyDescent="0.15">
      <c r="D225" t="s">
        <v>563</v>
      </c>
      <c r="E225" s="9" t="s">
        <v>566</v>
      </c>
      <c r="F225" s="7">
        <v>11</v>
      </c>
      <c r="I225" s="1">
        <f t="shared" si="57"/>
        <v>2</v>
      </c>
      <c r="J225" t="b">
        <f t="shared" si="58"/>
        <v>0</v>
      </c>
      <c r="K225">
        <f t="shared" si="59"/>
        <v>0</v>
      </c>
      <c r="L225">
        <f t="shared" si="60"/>
        <v>0</v>
      </c>
      <c r="M225" s="1">
        <v>2</v>
      </c>
      <c r="N225" t="b">
        <v>0</v>
      </c>
      <c r="O225">
        <v>0</v>
      </c>
      <c r="P225">
        <v>0</v>
      </c>
      <c r="Q225" s="1" t="b">
        <f t="shared" si="69"/>
        <v>1</v>
      </c>
      <c r="R225" t="b">
        <f t="shared" si="70"/>
        <v>1</v>
      </c>
      <c r="S225" t="b">
        <f t="shared" si="71"/>
        <v>1</v>
      </c>
      <c r="T225" t="b">
        <f t="shared" si="72"/>
        <v>1</v>
      </c>
    </row>
    <row r="226" spans="2:20" x14ac:dyDescent="0.15">
      <c r="D226" t="s">
        <v>557</v>
      </c>
      <c r="E226" s="9" t="s">
        <v>567</v>
      </c>
      <c r="F226" s="7">
        <v>16</v>
      </c>
      <c r="I226" s="1">
        <f t="shared" si="57"/>
        <v>2</v>
      </c>
      <c r="J226" t="b">
        <f t="shared" si="58"/>
        <v>0</v>
      </c>
      <c r="K226">
        <f t="shared" si="59"/>
        <v>0</v>
      </c>
      <c r="L226">
        <f t="shared" si="60"/>
        <v>0</v>
      </c>
      <c r="M226" s="1">
        <v>2</v>
      </c>
      <c r="N226" t="b">
        <v>0</v>
      </c>
      <c r="O226">
        <v>0</v>
      </c>
      <c r="P226">
        <v>0</v>
      </c>
      <c r="Q226" s="1" t="b">
        <f t="shared" si="69"/>
        <v>1</v>
      </c>
      <c r="R226" t="b">
        <f t="shared" si="70"/>
        <v>1</v>
      </c>
      <c r="S226" t="b">
        <f t="shared" si="71"/>
        <v>1</v>
      </c>
      <c r="T226" t="b">
        <f t="shared" si="72"/>
        <v>1</v>
      </c>
    </row>
    <row r="227" spans="2:20" x14ac:dyDescent="0.15">
      <c r="C227" s="2" t="s">
        <v>582</v>
      </c>
      <c r="D227" s="2" t="s">
        <v>555</v>
      </c>
      <c r="E227" s="11">
        <v>2</v>
      </c>
      <c r="F227" s="2">
        <v>2</v>
      </c>
      <c r="G227" s="2"/>
      <c r="H227" s="2"/>
      <c r="I227" s="3">
        <f t="shared" si="57"/>
        <v>1</v>
      </c>
      <c r="J227" s="2" t="b">
        <f t="shared" si="58"/>
        <v>0</v>
      </c>
      <c r="K227" s="2">
        <f t="shared" si="59"/>
        <v>0</v>
      </c>
      <c r="L227" s="2" t="e">
        <f t="shared" si="60"/>
        <v>#NUM!</v>
      </c>
      <c r="M227" s="3">
        <v>1</v>
      </c>
      <c r="N227" s="2" t="b">
        <v>0</v>
      </c>
      <c r="O227" s="2">
        <v>0</v>
      </c>
      <c r="P227" s="2" t="e">
        <v>#NUM!</v>
      </c>
      <c r="Q227" s="3" t="b">
        <f t="shared" si="69"/>
        <v>1</v>
      </c>
      <c r="R227" s="2" t="b">
        <f t="shared" si="70"/>
        <v>1</v>
      </c>
      <c r="S227" s="2" t="b">
        <f t="shared" si="71"/>
        <v>1</v>
      </c>
      <c r="T227" s="2" t="b">
        <f t="shared" si="72"/>
        <v>1</v>
      </c>
    </row>
    <row r="228" spans="2:20" x14ac:dyDescent="0.15">
      <c r="C228" s="6"/>
      <c r="D228" s="7" t="s">
        <v>562</v>
      </c>
      <c r="E228" s="9" t="s">
        <v>587</v>
      </c>
      <c r="F228" s="7">
        <v>9</v>
      </c>
      <c r="G228" s="6"/>
      <c r="H228" s="6"/>
      <c r="I228" s="1">
        <f t="shared" si="57"/>
        <v>1</v>
      </c>
      <c r="J228" s="6" t="b">
        <f t="shared" si="58"/>
        <v>0</v>
      </c>
      <c r="K228" s="6">
        <f t="shared" si="59"/>
        <v>0</v>
      </c>
      <c r="L228" s="6" t="e">
        <f t="shared" si="60"/>
        <v>#NUM!</v>
      </c>
      <c r="M228" s="1">
        <v>1</v>
      </c>
      <c r="N228" s="6" t="b">
        <v>0</v>
      </c>
      <c r="O228" s="6">
        <v>0</v>
      </c>
      <c r="P228" s="6" t="e">
        <v>#NUM!</v>
      </c>
      <c r="Q228" s="1" t="b">
        <f t="shared" si="69"/>
        <v>1</v>
      </c>
      <c r="R228" s="6" t="b">
        <f t="shared" si="70"/>
        <v>1</v>
      </c>
      <c r="S228" s="6" t="b">
        <f t="shared" si="71"/>
        <v>1</v>
      </c>
      <c r="T228" s="6" t="b">
        <f t="shared" si="72"/>
        <v>1</v>
      </c>
    </row>
    <row r="229" spans="2:20" x14ac:dyDescent="0.15">
      <c r="D229" t="s">
        <v>556</v>
      </c>
      <c r="E229" s="9" t="s">
        <v>583</v>
      </c>
      <c r="F229" s="7">
        <v>10</v>
      </c>
      <c r="I229" s="1">
        <f t="shared" si="57"/>
        <v>1</v>
      </c>
      <c r="J229" t="b">
        <f t="shared" si="58"/>
        <v>0</v>
      </c>
      <c r="K229">
        <f t="shared" si="59"/>
        <v>0</v>
      </c>
      <c r="L229" t="e">
        <f t="shared" si="60"/>
        <v>#NUM!</v>
      </c>
      <c r="M229" s="1">
        <v>1</v>
      </c>
      <c r="N229" t="b">
        <v>0</v>
      </c>
      <c r="O229">
        <v>0</v>
      </c>
      <c r="P229" t="e">
        <v>#NUM!</v>
      </c>
      <c r="Q229" s="1" t="b">
        <f t="shared" si="69"/>
        <v>1</v>
      </c>
      <c r="R229" t="b">
        <f t="shared" si="70"/>
        <v>1</v>
      </c>
      <c r="S229" t="b">
        <f t="shared" si="71"/>
        <v>1</v>
      </c>
      <c r="T229" t="b">
        <f t="shared" si="72"/>
        <v>1</v>
      </c>
    </row>
    <row r="230" spans="2:20" x14ac:dyDescent="0.15">
      <c r="D230" t="s">
        <v>563</v>
      </c>
      <c r="E230" s="9" t="s">
        <v>584</v>
      </c>
      <c r="F230" s="7">
        <v>11</v>
      </c>
      <c r="I230" s="1">
        <f t="shared" si="57"/>
        <v>1</v>
      </c>
      <c r="J230" t="b">
        <f t="shared" si="58"/>
        <v>0</v>
      </c>
      <c r="K230">
        <f t="shared" si="59"/>
        <v>0</v>
      </c>
      <c r="L230" t="e">
        <f t="shared" si="60"/>
        <v>#NUM!</v>
      </c>
      <c r="M230" s="1">
        <v>1</v>
      </c>
      <c r="N230" t="b">
        <v>0</v>
      </c>
      <c r="O230">
        <v>0</v>
      </c>
      <c r="P230" t="e">
        <v>#NUM!</v>
      </c>
      <c r="Q230" s="1" t="b">
        <f t="shared" si="69"/>
        <v>1</v>
      </c>
      <c r="R230" t="b">
        <f t="shared" si="70"/>
        <v>1</v>
      </c>
      <c r="S230" t="b">
        <f t="shared" si="71"/>
        <v>1</v>
      </c>
      <c r="T230" t="b">
        <f t="shared" si="72"/>
        <v>1</v>
      </c>
    </row>
    <row r="231" spans="2:20" x14ac:dyDescent="0.15">
      <c r="D231" t="s">
        <v>557</v>
      </c>
      <c r="E231" s="9" t="s">
        <v>585</v>
      </c>
      <c r="F231" s="7">
        <v>16</v>
      </c>
      <c r="I231" s="1">
        <f t="shared" si="57"/>
        <v>1</v>
      </c>
      <c r="J231" t="b">
        <f t="shared" si="58"/>
        <v>0</v>
      </c>
      <c r="K231">
        <f t="shared" si="59"/>
        <v>0</v>
      </c>
      <c r="L231" t="e">
        <f t="shared" si="60"/>
        <v>#NUM!</v>
      </c>
      <c r="M231" s="1">
        <v>1</v>
      </c>
      <c r="N231" t="b">
        <v>0</v>
      </c>
      <c r="O231">
        <v>0</v>
      </c>
      <c r="P231" t="e">
        <v>#NUM!</v>
      </c>
      <c r="Q231" s="1" t="b">
        <f t="shared" si="69"/>
        <v>1</v>
      </c>
      <c r="R231" t="b">
        <f t="shared" si="70"/>
        <v>1</v>
      </c>
      <c r="S231" t="b">
        <f t="shared" si="71"/>
        <v>1</v>
      </c>
      <c r="T231" t="b">
        <f t="shared" si="72"/>
        <v>1</v>
      </c>
    </row>
    <row r="232" spans="2:20" x14ac:dyDescent="0.15">
      <c r="B232" s="2" t="s">
        <v>588</v>
      </c>
      <c r="C232" s="2" t="s">
        <v>589</v>
      </c>
      <c r="D232" s="2" t="s">
        <v>555</v>
      </c>
      <c r="E232" s="11" t="s">
        <v>592</v>
      </c>
      <c r="F232" s="2">
        <v>2</v>
      </c>
      <c r="G232" s="2"/>
      <c r="H232" s="2"/>
      <c r="I232" s="3">
        <f t="shared" si="57"/>
        <v>2</v>
      </c>
      <c r="J232" s="2" t="b">
        <f t="shared" si="58"/>
        <v>0</v>
      </c>
      <c r="K232" s="2">
        <f t="shared" si="59"/>
        <v>0</v>
      </c>
      <c r="L232" s="2" t="e">
        <f t="shared" si="60"/>
        <v>#NUM!</v>
      </c>
      <c r="M232" s="3">
        <v>2</v>
      </c>
      <c r="N232" s="2" t="b">
        <v>0</v>
      </c>
      <c r="O232" s="2">
        <v>0</v>
      </c>
      <c r="P232" s="2" t="e">
        <v>#NUM!</v>
      </c>
      <c r="Q232" s="3" t="b">
        <f t="shared" si="69"/>
        <v>1</v>
      </c>
      <c r="R232" s="2" t="b">
        <f t="shared" si="70"/>
        <v>1</v>
      </c>
      <c r="S232" s="2" t="b">
        <f t="shared" si="71"/>
        <v>1</v>
      </c>
      <c r="T232" s="2" t="b">
        <f t="shared" si="72"/>
        <v>1</v>
      </c>
    </row>
    <row r="233" spans="2:20" x14ac:dyDescent="0.15">
      <c r="D233" s="7" t="s">
        <v>562</v>
      </c>
      <c r="E233" s="9" t="s">
        <v>593</v>
      </c>
      <c r="F233" s="7">
        <v>9</v>
      </c>
      <c r="I233" s="1">
        <f t="shared" si="57"/>
        <v>2</v>
      </c>
      <c r="J233" t="b">
        <f t="shared" si="58"/>
        <v>0</v>
      </c>
      <c r="K233">
        <f t="shared" si="59"/>
        <v>0</v>
      </c>
      <c r="L233" t="e">
        <f t="shared" si="60"/>
        <v>#NUM!</v>
      </c>
      <c r="M233" s="1">
        <v>2</v>
      </c>
      <c r="N233" t="b">
        <v>0</v>
      </c>
      <c r="O233">
        <v>0</v>
      </c>
      <c r="P233" t="e">
        <v>#NUM!</v>
      </c>
      <c r="Q233" s="1" t="b">
        <f t="shared" si="69"/>
        <v>1</v>
      </c>
      <c r="R233" t="b">
        <f t="shared" si="70"/>
        <v>1</v>
      </c>
      <c r="S233" t="b">
        <f t="shared" si="71"/>
        <v>1</v>
      </c>
      <c r="T233" t="b">
        <f t="shared" si="72"/>
        <v>1</v>
      </c>
    </row>
    <row r="234" spans="2:20" x14ac:dyDescent="0.15">
      <c r="D234" t="s">
        <v>556</v>
      </c>
      <c r="E234" s="9" t="s">
        <v>594</v>
      </c>
      <c r="F234" s="7">
        <v>10</v>
      </c>
      <c r="I234" s="1">
        <f t="shared" si="57"/>
        <v>2</v>
      </c>
      <c r="J234" t="b">
        <f t="shared" si="58"/>
        <v>0</v>
      </c>
      <c r="K234">
        <f t="shared" si="59"/>
        <v>0</v>
      </c>
      <c r="L234" t="e">
        <f t="shared" si="60"/>
        <v>#NUM!</v>
      </c>
      <c r="M234" s="1">
        <v>2</v>
      </c>
      <c r="N234" t="b">
        <v>0</v>
      </c>
      <c r="O234">
        <v>0</v>
      </c>
      <c r="P234" t="e">
        <v>#NUM!</v>
      </c>
      <c r="Q234" s="1" t="b">
        <f t="shared" ref="Q234:Q242" si="73">getText(I234)=getText(M234)</f>
        <v>1</v>
      </c>
      <c r="R234" t="b">
        <f t="shared" ref="R234:R242" si="74">getText(J234)=getText(N234)</f>
        <v>1</v>
      </c>
      <c r="S234" t="b">
        <f t="shared" ref="S234:S242" si="75">getText(K234)=getText(O234)</f>
        <v>1</v>
      </c>
      <c r="T234" t="b">
        <f t="shared" ref="T234:T242" si="76">getText(L234)=getText(P234)</f>
        <v>1</v>
      </c>
    </row>
    <row r="235" spans="2:20" x14ac:dyDescent="0.15">
      <c r="D235" t="s">
        <v>563</v>
      </c>
      <c r="E235" s="9" t="s">
        <v>595</v>
      </c>
      <c r="F235" s="7">
        <v>11</v>
      </c>
      <c r="I235" s="1">
        <f t="shared" si="57"/>
        <v>2</v>
      </c>
      <c r="J235" t="b">
        <f t="shared" si="58"/>
        <v>0</v>
      </c>
      <c r="K235">
        <f t="shared" si="59"/>
        <v>0</v>
      </c>
      <c r="L235" t="e">
        <f t="shared" si="60"/>
        <v>#NUM!</v>
      </c>
      <c r="M235" s="1">
        <v>2</v>
      </c>
      <c r="N235" t="b">
        <v>0</v>
      </c>
      <c r="O235">
        <v>0</v>
      </c>
      <c r="P235" t="e">
        <v>#NUM!</v>
      </c>
      <c r="Q235" s="1" t="b">
        <f t="shared" si="73"/>
        <v>1</v>
      </c>
      <c r="R235" t="b">
        <f t="shared" si="74"/>
        <v>1</v>
      </c>
      <c r="S235" t="b">
        <f t="shared" si="75"/>
        <v>1</v>
      </c>
      <c r="T235" t="b">
        <f t="shared" si="76"/>
        <v>1</v>
      </c>
    </row>
    <row r="236" spans="2:20" x14ac:dyDescent="0.15">
      <c r="D236" t="s">
        <v>557</v>
      </c>
      <c r="E236" s="9" t="s">
        <v>596</v>
      </c>
      <c r="F236" s="7">
        <v>16</v>
      </c>
      <c r="I236" s="1">
        <f t="shared" si="57"/>
        <v>2</v>
      </c>
      <c r="J236" t="b">
        <f t="shared" si="58"/>
        <v>0</v>
      </c>
      <c r="K236">
        <f t="shared" si="59"/>
        <v>0</v>
      </c>
      <c r="L236" t="e">
        <f t="shared" si="60"/>
        <v>#NUM!</v>
      </c>
      <c r="M236" s="1">
        <v>2</v>
      </c>
      <c r="N236" t="b">
        <v>0</v>
      </c>
      <c r="O236">
        <v>0</v>
      </c>
      <c r="P236" t="e">
        <v>#NUM!</v>
      </c>
      <c r="Q236" s="1" t="b">
        <f t="shared" si="73"/>
        <v>1</v>
      </c>
      <c r="R236" t="b">
        <f t="shared" si="74"/>
        <v>1</v>
      </c>
      <c r="S236" t="b">
        <f t="shared" si="75"/>
        <v>1</v>
      </c>
      <c r="T236" t="b">
        <f t="shared" si="76"/>
        <v>1</v>
      </c>
    </row>
    <row r="237" spans="2:20" x14ac:dyDescent="0.15">
      <c r="C237" s="2" t="s">
        <v>590</v>
      </c>
      <c r="D237" s="2" t="s">
        <v>555</v>
      </c>
      <c r="E237" s="11" t="s">
        <v>597</v>
      </c>
      <c r="F237" s="2">
        <v>2</v>
      </c>
      <c r="G237" s="2"/>
      <c r="H237" s="2"/>
      <c r="I237" s="3">
        <f t="shared" si="57"/>
        <v>3</v>
      </c>
      <c r="J237" s="2" t="b">
        <f t="shared" si="58"/>
        <v>0</v>
      </c>
      <c r="K237" s="2">
        <f t="shared" si="59"/>
        <v>0</v>
      </c>
      <c r="L237" s="2" t="e">
        <f t="shared" si="60"/>
        <v>#NUM!</v>
      </c>
      <c r="M237" s="3">
        <v>3</v>
      </c>
      <c r="N237" s="2" t="b">
        <v>0</v>
      </c>
      <c r="O237" s="2">
        <v>0</v>
      </c>
      <c r="P237" s="2" t="e">
        <v>#NUM!</v>
      </c>
      <c r="Q237" s="3" t="b">
        <f t="shared" si="73"/>
        <v>1</v>
      </c>
      <c r="R237" s="2" t="b">
        <f t="shared" si="74"/>
        <v>1</v>
      </c>
      <c r="S237" s="2" t="b">
        <f t="shared" si="75"/>
        <v>1</v>
      </c>
      <c r="T237" s="2" t="b">
        <f t="shared" si="76"/>
        <v>1</v>
      </c>
    </row>
    <row r="238" spans="2:20" x14ac:dyDescent="0.15">
      <c r="D238" s="7" t="s">
        <v>562</v>
      </c>
      <c r="E238" s="9" t="s">
        <v>598</v>
      </c>
      <c r="F238" s="7">
        <v>9</v>
      </c>
      <c r="I238" s="1">
        <f t="shared" si="57"/>
        <v>3</v>
      </c>
      <c r="J238" t="b">
        <f t="shared" si="58"/>
        <v>0</v>
      </c>
      <c r="K238">
        <f t="shared" si="59"/>
        <v>0</v>
      </c>
      <c r="L238" t="e">
        <f t="shared" si="60"/>
        <v>#NUM!</v>
      </c>
      <c r="M238" s="1">
        <v>3</v>
      </c>
      <c r="N238" t="b">
        <v>0</v>
      </c>
      <c r="O238">
        <v>0</v>
      </c>
      <c r="P238" t="e">
        <v>#NUM!</v>
      </c>
      <c r="Q238" s="1" t="b">
        <f t="shared" si="73"/>
        <v>1</v>
      </c>
      <c r="R238" t="b">
        <f t="shared" si="74"/>
        <v>1</v>
      </c>
      <c r="S238" t="b">
        <f t="shared" si="75"/>
        <v>1</v>
      </c>
      <c r="T238" t="b">
        <f t="shared" si="76"/>
        <v>1</v>
      </c>
    </row>
    <row r="239" spans="2:20" x14ac:dyDescent="0.15">
      <c r="D239" t="s">
        <v>556</v>
      </c>
      <c r="E239" s="9" t="s">
        <v>599</v>
      </c>
      <c r="F239" s="7">
        <v>10</v>
      </c>
      <c r="I239" s="1">
        <f t="shared" si="57"/>
        <v>3</v>
      </c>
      <c r="J239" t="b">
        <f t="shared" si="58"/>
        <v>0</v>
      </c>
      <c r="K239">
        <f t="shared" si="59"/>
        <v>0</v>
      </c>
      <c r="L239" t="e">
        <f t="shared" si="60"/>
        <v>#NUM!</v>
      </c>
      <c r="M239" s="1">
        <v>3</v>
      </c>
      <c r="N239" t="b">
        <v>0</v>
      </c>
      <c r="O239">
        <v>0</v>
      </c>
      <c r="P239" t="e">
        <v>#NUM!</v>
      </c>
      <c r="Q239" s="1" t="b">
        <f t="shared" si="73"/>
        <v>1</v>
      </c>
      <c r="R239" t="b">
        <f t="shared" si="74"/>
        <v>1</v>
      </c>
      <c r="S239" t="b">
        <f t="shared" si="75"/>
        <v>1</v>
      </c>
      <c r="T239" t="b">
        <f t="shared" si="76"/>
        <v>1</v>
      </c>
    </row>
    <row r="240" spans="2:20" x14ac:dyDescent="0.15">
      <c r="D240" t="s">
        <v>563</v>
      </c>
      <c r="E240" s="9" t="s">
        <v>600</v>
      </c>
      <c r="F240" s="7">
        <v>11</v>
      </c>
      <c r="I240" s="1">
        <f t="shared" si="57"/>
        <v>3</v>
      </c>
      <c r="J240" t="b">
        <f t="shared" si="58"/>
        <v>0</v>
      </c>
      <c r="K240">
        <f t="shared" si="59"/>
        <v>0</v>
      </c>
      <c r="L240" t="e">
        <f t="shared" si="60"/>
        <v>#NUM!</v>
      </c>
      <c r="M240" s="1">
        <v>3</v>
      </c>
      <c r="N240" t="b">
        <v>0</v>
      </c>
      <c r="O240">
        <v>0</v>
      </c>
      <c r="P240" t="e">
        <v>#NUM!</v>
      </c>
      <c r="Q240" s="1" t="b">
        <f t="shared" si="73"/>
        <v>1</v>
      </c>
      <c r="R240" t="b">
        <f t="shared" si="74"/>
        <v>1</v>
      </c>
      <c r="S240" t="b">
        <f t="shared" si="75"/>
        <v>1</v>
      </c>
      <c r="T240" t="b">
        <f t="shared" si="76"/>
        <v>1</v>
      </c>
    </row>
    <row r="241" spans="2:20" x14ac:dyDescent="0.15">
      <c r="D241" t="s">
        <v>557</v>
      </c>
      <c r="E241" s="9" t="s">
        <v>601</v>
      </c>
      <c r="F241" s="7">
        <v>16</v>
      </c>
      <c r="I241" s="1">
        <f t="shared" si="57"/>
        <v>3</v>
      </c>
      <c r="J241" t="b">
        <f t="shared" si="58"/>
        <v>0</v>
      </c>
      <c r="K241">
        <f t="shared" si="59"/>
        <v>0</v>
      </c>
      <c r="L241" t="e">
        <f t="shared" si="60"/>
        <v>#NUM!</v>
      </c>
      <c r="M241" s="1">
        <v>3</v>
      </c>
      <c r="N241" t="b">
        <v>0</v>
      </c>
      <c r="O241">
        <v>0</v>
      </c>
      <c r="P241" t="e">
        <v>#NUM!</v>
      </c>
      <c r="Q241" s="1" t="b">
        <f t="shared" si="73"/>
        <v>1</v>
      </c>
      <c r="R241" t="b">
        <f t="shared" si="74"/>
        <v>1</v>
      </c>
      <c r="S241" t="b">
        <f t="shared" si="75"/>
        <v>1</v>
      </c>
      <c r="T241" t="b">
        <f t="shared" si="76"/>
        <v>1</v>
      </c>
    </row>
    <row r="242" spans="2:20" x14ac:dyDescent="0.15">
      <c r="C242" s="2" t="s">
        <v>591</v>
      </c>
      <c r="D242" s="2" t="s">
        <v>555</v>
      </c>
      <c r="E242" s="11" t="s">
        <v>602</v>
      </c>
      <c r="F242" s="2">
        <v>2</v>
      </c>
      <c r="G242" s="2"/>
      <c r="H242" s="2"/>
      <c r="I242" s="3">
        <f t="shared" si="57"/>
        <v>5</v>
      </c>
      <c r="J242" s="2" t="b">
        <f t="shared" si="58"/>
        <v>0</v>
      </c>
      <c r="K242" s="2">
        <f t="shared" si="59"/>
        <v>0</v>
      </c>
      <c r="L242" s="2" t="e">
        <f t="shared" si="60"/>
        <v>#NUM!</v>
      </c>
      <c r="M242" s="3">
        <v>5</v>
      </c>
      <c r="N242" s="2" t="b">
        <v>0</v>
      </c>
      <c r="O242" s="2">
        <v>0</v>
      </c>
      <c r="P242" s="2" t="e">
        <v>#NUM!</v>
      </c>
      <c r="Q242" s="3" t="b">
        <f t="shared" si="73"/>
        <v>1</v>
      </c>
      <c r="R242" s="2" t="b">
        <f t="shared" si="74"/>
        <v>1</v>
      </c>
      <c r="S242" s="2" t="b">
        <f t="shared" si="75"/>
        <v>1</v>
      </c>
      <c r="T242" s="2" t="b">
        <f t="shared" si="76"/>
        <v>1</v>
      </c>
    </row>
    <row r="243" spans="2:20" x14ac:dyDescent="0.15">
      <c r="D243" s="7" t="s">
        <v>562</v>
      </c>
      <c r="E243" s="9" t="s">
        <v>603</v>
      </c>
      <c r="F243" s="7">
        <v>9</v>
      </c>
      <c r="I243" s="1">
        <f t="shared" ref="I243:I263" si="77">TESTcheckBaseNNumber(E243,F243)</f>
        <v>5</v>
      </c>
      <c r="J243" t="b">
        <f t="shared" ref="J243:J263" si="78">TESTcheckBaseNNumberByRef1(E243,F243)</f>
        <v>0</v>
      </c>
      <c r="K243">
        <f t="shared" ref="K243:K263" si="79">TESTcheckBaseNNumberByRef2(E243,F243)</f>
        <v>0</v>
      </c>
      <c r="L243" t="e">
        <f t="shared" ref="L243:L263" si="80">TESTcheckBaseNNumberByRef3(E243,F243)</f>
        <v>#NUM!</v>
      </c>
      <c r="M243" s="1">
        <v>5</v>
      </c>
      <c r="N243" t="b">
        <v>0</v>
      </c>
      <c r="O243">
        <v>0</v>
      </c>
      <c r="P243" t="e">
        <v>#NUM!</v>
      </c>
      <c r="Q243" s="1" t="b">
        <f t="shared" ref="Q243:Q247" si="81">getText(I243)=getText(M243)</f>
        <v>1</v>
      </c>
      <c r="R243" t="b">
        <f t="shared" ref="R243:R247" si="82">getText(J243)=getText(N243)</f>
        <v>1</v>
      </c>
      <c r="S243" t="b">
        <f t="shared" ref="S243:S247" si="83">getText(K243)=getText(O243)</f>
        <v>1</v>
      </c>
      <c r="T243" t="b">
        <f t="shared" ref="T243:T247" si="84">getText(L243)=getText(P243)</f>
        <v>1</v>
      </c>
    </row>
    <row r="244" spans="2:20" x14ac:dyDescent="0.15">
      <c r="D244" t="s">
        <v>556</v>
      </c>
      <c r="E244" s="9" t="s">
        <v>604</v>
      </c>
      <c r="F244" s="7">
        <v>10</v>
      </c>
      <c r="I244" s="1">
        <f t="shared" si="77"/>
        <v>5</v>
      </c>
      <c r="J244" t="b">
        <f t="shared" si="78"/>
        <v>0</v>
      </c>
      <c r="K244">
        <f t="shared" si="79"/>
        <v>0</v>
      </c>
      <c r="L244" t="e">
        <f t="shared" si="80"/>
        <v>#NUM!</v>
      </c>
      <c r="M244" s="1">
        <v>5</v>
      </c>
      <c r="N244" t="b">
        <v>0</v>
      </c>
      <c r="O244">
        <v>0</v>
      </c>
      <c r="P244" t="e">
        <v>#NUM!</v>
      </c>
      <c r="Q244" s="1" t="b">
        <f t="shared" si="81"/>
        <v>1</v>
      </c>
      <c r="R244" t="b">
        <f t="shared" si="82"/>
        <v>1</v>
      </c>
      <c r="S244" t="b">
        <f t="shared" si="83"/>
        <v>1</v>
      </c>
      <c r="T244" t="b">
        <f t="shared" si="84"/>
        <v>1</v>
      </c>
    </row>
    <row r="245" spans="2:20" x14ac:dyDescent="0.15">
      <c r="D245" t="s">
        <v>563</v>
      </c>
      <c r="E245" s="9" t="s">
        <v>605</v>
      </c>
      <c r="F245" s="7">
        <v>11</v>
      </c>
      <c r="I245" s="1">
        <f t="shared" si="77"/>
        <v>5</v>
      </c>
      <c r="J245" t="b">
        <f t="shared" si="78"/>
        <v>0</v>
      </c>
      <c r="K245">
        <f t="shared" si="79"/>
        <v>0</v>
      </c>
      <c r="L245" t="e">
        <f t="shared" si="80"/>
        <v>#NUM!</v>
      </c>
      <c r="M245" s="1">
        <v>5</v>
      </c>
      <c r="N245" t="b">
        <v>0</v>
      </c>
      <c r="O245">
        <v>0</v>
      </c>
      <c r="P245" t="e">
        <v>#NUM!</v>
      </c>
      <c r="Q245" s="1" t="b">
        <f t="shared" si="81"/>
        <v>1</v>
      </c>
      <c r="R245" t="b">
        <f t="shared" si="82"/>
        <v>1</v>
      </c>
      <c r="S245" t="b">
        <f t="shared" si="83"/>
        <v>1</v>
      </c>
      <c r="T245" t="b">
        <f t="shared" si="84"/>
        <v>1</v>
      </c>
    </row>
    <row r="246" spans="2:20" x14ac:dyDescent="0.15">
      <c r="D246" t="s">
        <v>557</v>
      </c>
      <c r="E246" s="9" t="s">
        <v>606</v>
      </c>
      <c r="F246" s="7">
        <v>16</v>
      </c>
      <c r="I246" s="1">
        <f t="shared" si="77"/>
        <v>5</v>
      </c>
      <c r="J246" t="b">
        <f t="shared" si="78"/>
        <v>0</v>
      </c>
      <c r="K246">
        <f t="shared" si="79"/>
        <v>0</v>
      </c>
      <c r="L246" t="e">
        <f t="shared" si="80"/>
        <v>#NUM!</v>
      </c>
      <c r="M246" s="1">
        <v>5</v>
      </c>
      <c r="N246" t="b">
        <v>0</v>
      </c>
      <c r="O246">
        <v>0</v>
      </c>
      <c r="P246" t="e">
        <v>#NUM!</v>
      </c>
      <c r="Q246" s="1" t="b">
        <f t="shared" si="81"/>
        <v>1</v>
      </c>
      <c r="R246" t="b">
        <f t="shared" si="82"/>
        <v>1</v>
      </c>
      <c r="S246" t="b">
        <f t="shared" si="83"/>
        <v>1</v>
      </c>
      <c r="T246" t="b">
        <f t="shared" si="84"/>
        <v>1</v>
      </c>
    </row>
    <row r="247" spans="2:20" x14ac:dyDescent="0.15">
      <c r="C247" s="2" t="s">
        <v>607</v>
      </c>
      <c r="D247" s="2" t="s">
        <v>555</v>
      </c>
      <c r="E247" s="11" t="s">
        <v>608</v>
      </c>
      <c r="F247" s="2">
        <v>2</v>
      </c>
      <c r="G247" s="2"/>
      <c r="H247" s="2"/>
      <c r="I247" s="3">
        <f t="shared" si="77"/>
        <v>3</v>
      </c>
      <c r="J247" s="2" t="b">
        <f t="shared" si="78"/>
        <v>0</v>
      </c>
      <c r="K247" s="2">
        <f t="shared" si="79"/>
        <v>0</v>
      </c>
      <c r="L247" s="2">
        <f t="shared" si="80"/>
        <v>0</v>
      </c>
      <c r="M247" s="3">
        <v>3</v>
      </c>
      <c r="N247" s="2" t="b">
        <v>0</v>
      </c>
      <c r="O247" s="2">
        <v>0</v>
      </c>
      <c r="P247" s="2">
        <v>0</v>
      </c>
      <c r="Q247" s="3" t="b">
        <f t="shared" si="81"/>
        <v>1</v>
      </c>
      <c r="R247" s="2" t="b">
        <f t="shared" si="82"/>
        <v>1</v>
      </c>
      <c r="S247" s="2" t="b">
        <f t="shared" si="83"/>
        <v>1</v>
      </c>
      <c r="T247" s="2" t="b">
        <f t="shared" si="84"/>
        <v>1</v>
      </c>
    </row>
    <row r="248" spans="2:20" x14ac:dyDescent="0.15">
      <c r="D248" s="7" t="s">
        <v>562</v>
      </c>
      <c r="E248" s="9" t="s">
        <v>610</v>
      </c>
      <c r="F248" s="7">
        <v>9</v>
      </c>
      <c r="I248" s="1">
        <f t="shared" si="77"/>
        <v>11</v>
      </c>
      <c r="J248" t="b">
        <f t="shared" si="78"/>
        <v>0</v>
      </c>
      <c r="K248">
        <f t="shared" si="79"/>
        <v>0</v>
      </c>
      <c r="L248">
        <f t="shared" si="80"/>
        <v>0</v>
      </c>
      <c r="M248" s="1">
        <v>11</v>
      </c>
      <c r="N248" t="b">
        <v>0</v>
      </c>
      <c r="O248">
        <v>0</v>
      </c>
      <c r="P248">
        <v>0</v>
      </c>
      <c r="Q248" s="1" t="b">
        <f t="shared" ref="Q248:Q251" si="85">getText(I248)=getText(M248)</f>
        <v>1</v>
      </c>
      <c r="R248" t="b">
        <f t="shared" ref="R248:R251" si="86">getText(J248)=getText(N248)</f>
        <v>1</v>
      </c>
      <c r="S248" t="b">
        <f t="shared" ref="S248:S251" si="87">getText(K248)=getText(O248)</f>
        <v>1</v>
      </c>
      <c r="T248" t="b">
        <f t="shared" ref="T248:T251" si="88">getText(L248)=getText(P248)</f>
        <v>1</v>
      </c>
    </row>
    <row r="249" spans="2:20" x14ac:dyDescent="0.15">
      <c r="D249" t="s">
        <v>556</v>
      </c>
      <c r="E249" s="9" t="s">
        <v>609</v>
      </c>
      <c r="F249" s="7">
        <v>10</v>
      </c>
      <c r="I249" s="1">
        <f t="shared" si="77"/>
        <v>12</v>
      </c>
      <c r="J249" t="b">
        <f t="shared" si="78"/>
        <v>0</v>
      </c>
      <c r="K249">
        <f t="shared" si="79"/>
        <v>0</v>
      </c>
      <c r="L249">
        <f t="shared" si="80"/>
        <v>0</v>
      </c>
      <c r="M249" s="1">
        <v>12</v>
      </c>
      <c r="N249" t="b">
        <v>0</v>
      </c>
      <c r="O249">
        <v>0</v>
      </c>
      <c r="P249">
        <v>0</v>
      </c>
      <c r="Q249" s="1" t="b">
        <f t="shared" si="85"/>
        <v>1</v>
      </c>
      <c r="R249" t="b">
        <f t="shared" si="86"/>
        <v>1</v>
      </c>
      <c r="S249" t="b">
        <f t="shared" si="87"/>
        <v>1</v>
      </c>
      <c r="T249" t="b">
        <f t="shared" si="88"/>
        <v>1</v>
      </c>
    </row>
    <row r="250" spans="2:20" x14ac:dyDescent="0.15">
      <c r="D250" t="s">
        <v>563</v>
      </c>
      <c r="E250" s="9" t="s">
        <v>611</v>
      </c>
      <c r="F250" s="7">
        <v>11</v>
      </c>
      <c r="I250" s="1">
        <f t="shared" si="77"/>
        <v>13</v>
      </c>
      <c r="J250" t="b">
        <f t="shared" si="78"/>
        <v>0</v>
      </c>
      <c r="K250">
        <f t="shared" si="79"/>
        <v>0</v>
      </c>
      <c r="L250">
        <f t="shared" si="80"/>
        <v>0</v>
      </c>
      <c r="M250" s="1">
        <v>13</v>
      </c>
      <c r="N250" t="b">
        <v>0</v>
      </c>
      <c r="O250">
        <v>0</v>
      </c>
      <c r="P250">
        <v>0</v>
      </c>
      <c r="Q250" s="1" t="b">
        <f t="shared" si="85"/>
        <v>1</v>
      </c>
      <c r="R250" t="b">
        <f t="shared" si="86"/>
        <v>1</v>
      </c>
      <c r="S250" t="b">
        <f t="shared" si="87"/>
        <v>1</v>
      </c>
      <c r="T250" t="b">
        <f t="shared" si="88"/>
        <v>1</v>
      </c>
    </row>
    <row r="251" spans="2:20" x14ac:dyDescent="0.15">
      <c r="D251" t="s">
        <v>557</v>
      </c>
      <c r="E251" s="9" t="s">
        <v>612</v>
      </c>
      <c r="F251" s="7">
        <v>16</v>
      </c>
      <c r="I251" s="1">
        <f t="shared" si="77"/>
        <v>18</v>
      </c>
      <c r="J251" t="b">
        <f t="shared" si="78"/>
        <v>0</v>
      </c>
      <c r="K251">
        <f t="shared" si="79"/>
        <v>0</v>
      </c>
      <c r="L251">
        <f t="shared" si="80"/>
        <v>0</v>
      </c>
      <c r="M251" s="1">
        <v>18</v>
      </c>
      <c r="N251" t="b">
        <v>0</v>
      </c>
      <c r="O251">
        <v>0</v>
      </c>
      <c r="P251">
        <v>0</v>
      </c>
      <c r="Q251" s="1" t="b">
        <f t="shared" si="85"/>
        <v>1</v>
      </c>
      <c r="R251" t="b">
        <f t="shared" si="86"/>
        <v>1</v>
      </c>
      <c r="S251" t="b">
        <f t="shared" si="87"/>
        <v>1</v>
      </c>
      <c r="T251" t="b">
        <f t="shared" si="88"/>
        <v>1</v>
      </c>
    </row>
    <row r="252" spans="2:20" x14ac:dyDescent="0.15">
      <c r="B252" s="2" t="s">
        <v>613</v>
      </c>
      <c r="C252" s="2" t="s">
        <v>614</v>
      </c>
      <c r="D252" s="2"/>
      <c r="E252" s="11" t="s">
        <v>616</v>
      </c>
      <c r="F252" s="24">
        <v>10</v>
      </c>
      <c r="G252" s="2"/>
      <c r="H252" s="2"/>
      <c r="I252" s="3">
        <f t="shared" si="77"/>
        <v>3</v>
      </c>
      <c r="J252" s="2" t="b">
        <f t="shared" si="78"/>
        <v>1</v>
      </c>
      <c r="K252" s="2">
        <f t="shared" si="79"/>
        <v>0</v>
      </c>
      <c r="L252" s="2">
        <f t="shared" si="80"/>
        <v>0</v>
      </c>
      <c r="M252" s="3">
        <v>3</v>
      </c>
      <c r="N252" s="2" t="b">
        <v>1</v>
      </c>
      <c r="O252" s="2">
        <v>0</v>
      </c>
      <c r="P252" s="2">
        <v>0</v>
      </c>
      <c r="Q252" s="3" t="b">
        <f t="shared" ref="Q252:Q253" si="89">getText(I252)=getText(M252)</f>
        <v>1</v>
      </c>
      <c r="R252" s="2" t="b">
        <f t="shared" ref="R252:R253" si="90">getText(J252)=getText(N252)</f>
        <v>1</v>
      </c>
      <c r="S252" s="2" t="b">
        <f t="shared" ref="S252:S253" si="91">getText(K252)=getText(O252)</f>
        <v>1</v>
      </c>
      <c r="T252" s="2" t="b">
        <f t="shared" ref="T252:T253" si="92">getText(L252)=getText(P252)</f>
        <v>1</v>
      </c>
    </row>
    <row r="253" spans="2:20" x14ac:dyDescent="0.15">
      <c r="C253" t="s">
        <v>615</v>
      </c>
      <c r="E253" s="9" t="s">
        <v>617</v>
      </c>
      <c r="F253" s="7">
        <v>10</v>
      </c>
      <c r="I253" s="1">
        <f t="shared" si="77"/>
        <v>2</v>
      </c>
      <c r="J253" t="b">
        <f t="shared" si="78"/>
        <v>0</v>
      </c>
      <c r="K253">
        <f t="shared" si="79"/>
        <v>0</v>
      </c>
      <c r="L253" t="e">
        <f t="shared" si="80"/>
        <v>#NUM!</v>
      </c>
      <c r="M253" s="1">
        <v>2</v>
      </c>
      <c r="N253" t="b">
        <v>0</v>
      </c>
      <c r="O253">
        <v>0</v>
      </c>
      <c r="P253" t="e">
        <v>#NUM!</v>
      </c>
      <c r="Q253" s="1" t="b">
        <f t="shared" si="89"/>
        <v>1</v>
      </c>
      <c r="R253" t="b">
        <f t="shared" si="90"/>
        <v>1</v>
      </c>
      <c r="S253" t="b">
        <f t="shared" si="91"/>
        <v>1</v>
      </c>
      <c r="T253" t="b">
        <f t="shared" si="92"/>
        <v>1</v>
      </c>
    </row>
    <row r="254" spans="2:20" x14ac:dyDescent="0.15">
      <c r="B254" s="2" t="s">
        <v>618</v>
      </c>
      <c r="C254" s="2" t="s">
        <v>630</v>
      </c>
      <c r="D254" s="2" t="s">
        <v>639</v>
      </c>
      <c r="E254" s="11" t="s">
        <v>619</v>
      </c>
      <c r="F254" s="24">
        <v>10</v>
      </c>
      <c r="G254" s="2"/>
      <c r="H254" s="2"/>
      <c r="I254" s="3">
        <f t="shared" si="77"/>
        <v>1</v>
      </c>
      <c r="J254" s="2" t="b">
        <f t="shared" si="78"/>
        <v>0</v>
      </c>
      <c r="K254" s="2">
        <f t="shared" si="79"/>
        <v>0</v>
      </c>
      <c r="L254" s="2" t="e">
        <f t="shared" si="80"/>
        <v>#NUM!</v>
      </c>
      <c r="M254" s="3">
        <v>1</v>
      </c>
      <c r="N254" s="2" t="b">
        <v>0</v>
      </c>
      <c r="O254" s="2">
        <v>0</v>
      </c>
      <c r="P254" s="2" t="e">
        <v>#NUM!</v>
      </c>
      <c r="Q254" s="3" t="b">
        <f t="shared" ref="Q254" si="93">getText(I254)=getText(M254)</f>
        <v>1</v>
      </c>
      <c r="R254" s="2" t="b">
        <f t="shared" ref="R254" si="94">getText(J254)=getText(N254)</f>
        <v>1</v>
      </c>
      <c r="S254" s="2" t="b">
        <f t="shared" ref="S254" si="95">getText(K254)=getText(O254)</f>
        <v>1</v>
      </c>
      <c r="T254" s="2" t="b">
        <f t="shared" ref="T254" si="96">getText(L254)=getText(P254)</f>
        <v>1</v>
      </c>
    </row>
    <row r="255" spans="2:20" x14ac:dyDescent="0.15">
      <c r="B255" s="6"/>
      <c r="C255" s="6"/>
      <c r="D255" s="7" t="s">
        <v>640</v>
      </c>
      <c r="E255" s="9" t="s">
        <v>641</v>
      </c>
      <c r="F255" s="7">
        <v>10</v>
      </c>
      <c r="G255" s="6"/>
      <c r="H255" s="6"/>
      <c r="I255" s="1">
        <f t="shared" si="77"/>
        <v>2</v>
      </c>
      <c r="J255" s="6" t="b">
        <f t="shared" si="78"/>
        <v>1</v>
      </c>
      <c r="K255" s="6">
        <f t="shared" si="79"/>
        <v>0</v>
      </c>
      <c r="L255" s="6" t="e">
        <f t="shared" si="80"/>
        <v>#NUM!</v>
      </c>
      <c r="M255" s="1">
        <v>2</v>
      </c>
      <c r="N255" s="6" t="b">
        <v>1</v>
      </c>
      <c r="O255" s="6">
        <v>0</v>
      </c>
      <c r="P255" s="6" t="e">
        <v>#NUM!</v>
      </c>
      <c r="Q255" s="1" t="b">
        <f t="shared" ref="Q255:Q263" si="97">getText(I255)=getText(M255)</f>
        <v>1</v>
      </c>
      <c r="R255" s="6" t="b">
        <f t="shared" ref="R255:R263" si="98">getText(J255)=getText(N255)</f>
        <v>1</v>
      </c>
      <c r="S255" s="6" t="b">
        <f t="shared" ref="S255:S263" si="99">getText(K255)=getText(O255)</f>
        <v>1</v>
      </c>
      <c r="T255" s="6" t="b">
        <f t="shared" ref="T255:T263" si="100">getText(L255)=getText(P255)</f>
        <v>1</v>
      </c>
    </row>
    <row r="256" spans="2:20" x14ac:dyDescent="0.15">
      <c r="B256" s="6"/>
      <c r="C256" s="7" t="s">
        <v>631</v>
      </c>
      <c r="D256" s="6" t="s">
        <v>638</v>
      </c>
      <c r="E256" s="9" t="s">
        <v>629</v>
      </c>
      <c r="F256" s="7">
        <v>10</v>
      </c>
      <c r="G256" s="6"/>
      <c r="H256" s="6"/>
      <c r="I256" s="1">
        <f t="shared" si="77"/>
        <v>4</v>
      </c>
      <c r="J256" s="6" t="b">
        <f t="shared" si="78"/>
        <v>0</v>
      </c>
      <c r="K256" s="6">
        <f t="shared" si="79"/>
        <v>2</v>
      </c>
      <c r="L256" s="6">
        <f t="shared" si="80"/>
        <v>0</v>
      </c>
      <c r="M256" s="1">
        <v>4</v>
      </c>
      <c r="N256" s="6" t="b">
        <v>0</v>
      </c>
      <c r="O256" s="6">
        <v>2</v>
      </c>
      <c r="P256" s="6">
        <v>0</v>
      </c>
      <c r="Q256" s="1" t="b">
        <f t="shared" si="97"/>
        <v>1</v>
      </c>
      <c r="R256" s="6" t="b">
        <f t="shared" si="98"/>
        <v>1</v>
      </c>
      <c r="S256" s="6" t="b">
        <f t="shared" si="99"/>
        <v>1</v>
      </c>
      <c r="T256" s="6" t="b">
        <f t="shared" si="100"/>
        <v>1</v>
      </c>
    </row>
    <row r="257" spans="1:20" x14ac:dyDescent="0.15">
      <c r="B257" s="6"/>
      <c r="C257" s="7"/>
      <c r="D257" s="6" t="s">
        <v>342</v>
      </c>
      <c r="E257" s="9" t="s">
        <v>642</v>
      </c>
      <c r="F257" s="7">
        <v>10</v>
      </c>
      <c r="G257" s="6"/>
      <c r="H257" s="6"/>
      <c r="I257" s="1">
        <f t="shared" si="77"/>
        <v>5</v>
      </c>
      <c r="J257" s="6" t="b">
        <f t="shared" si="78"/>
        <v>1</v>
      </c>
      <c r="K257" s="6">
        <f t="shared" si="79"/>
        <v>3</v>
      </c>
      <c r="L257" s="6">
        <f t="shared" si="80"/>
        <v>0</v>
      </c>
      <c r="M257" s="1">
        <v>5</v>
      </c>
      <c r="N257" s="6" t="b">
        <v>1</v>
      </c>
      <c r="O257" s="6">
        <v>3</v>
      </c>
      <c r="P257" s="6">
        <v>0</v>
      </c>
      <c r="Q257" s="1" t="b">
        <f t="shared" si="97"/>
        <v>1</v>
      </c>
      <c r="R257" s="6" t="b">
        <f t="shared" si="98"/>
        <v>1</v>
      </c>
      <c r="S257" s="6" t="b">
        <f t="shared" si="99"/>
        <v>1</v>
      </c>
      <c r="T257" s="6" t="b">
        <f t="shared" si="100"/>
        <v>1</v>
      </c>
    </row>
    <row r="258" spans="1:20" x14ac:dyDescent="0.15">
      <c r="B258" s="6"/>
      <c r="C258" s="7" t="s">
        <v>633</v>
      </c>
      <c r="D258" s="6" t="s">
        <v>638</v>
      </c>
      <c r="E258" s="9" t="s">
        <v>634</v>
      </c>
      <c r="F258" s="7">
        <v>10</v>
      </c>
      <c r="G258" s="6"/>
      <c r="H258" s="6"/>
      <c r="I258" s="1">
        <f t="shared" si="77"/>
        <v>3</v>
      </c>
      <c r="J258" s="6" t="b">
        <f t="shared" si="78"/>
        <v>0</v>
      </c>
      <c r="K258" s="6">
        <f t="shared" si="79"/>
        <v>0</v>
      </c>
      <c r="L258" s="6" t="e">
        <f t="shared" si="80"/>
        <v>#NUM!</v>
      </c>
      <c r="M258" s="1">
        <v>3</v>
      </c>
      <c r="N258" s="6" t="b">
        <v>0</v>
      </c>
      <c r="O258" s="6">
        <v>0</v>
      </c>
      <c r="P258" s="6" t="e">
        <v>#NUM!</v>
      </c>
      <c r="Q258" s="1" t="b">
        <f t="shared" si="97"/>
        <v>1</v>
      </c>
      <c r="R258" s="6" t="b">
        <f t="shared" si="98"/>
        <v>1</v>
      </c>
      <c r="S258" s="6" t="b">
        <f t="shared" si="99"/>
        <v>1</v>
      </c>
      <c r="T258" s="6" t="b">
        <f t="shared" si="100"/>
        <v>1</v>
      </c>
    </row>
    <row r="259" spans="1:20" x14ac:dyDescent="0.15">
      <c r="B259" s="6"/>
      <c r="C259" s="7"/>
      <c r="D259" s="6" t="s">
        <v>342</v>
      </c>
      <c r="E259" s="9" t="s">
        <v>643</v>
      </c>
      <c r="F259" s="7">
        <v>10</v>
      </c>
      <c r="G259" s="6"/>
      <c r="H259" s="6"/>
      <c r="I259" s="1">
        <f t="shared" si="77"/>
        <v>4</v>
      </c>
      <c r="J259" s="6" t="b">
        <f t="shared" si="78"/>
        <v>1</v>
      </c>
      <c r="K259" s="6">
        <f t="shared" si="79"/>
        <v>0</v>
      </c>
      <c r="L259" s="6" t="e">
        <f t="shared" si="80"/>
        <v>#NUM!</v>
      </c>
      <c r="M259" s="1">
        <v>4</v>
      </c>
      <c r="N259" s="6" t="b">
        <v>1</v>
      </c>
      <c r="O259" s="6">
        <v>0</v>
      </c>
      <c r="P259" s="6" t="e">
        <v>#NUM!</v>
      </c>
      <c r="Q259" s="1" t="b">
        <f t="shared" si="97"/>
        <v>1</v>
      </c>
      <c r="R259" s="6" t="b">
        <f t="shared" si="98"/>
        <v>1</v>
      </c>
      <c r="S259" s="6" t="b">
        <f t="shared" si="99"/>
        <v>1</v>
      </c>
      <c r="T259" s="6" t="b">
        <f t="shared" si="100"/>
        <v>1</v>
      </c>
    </row>
    <row r="260" spans="1:20" x14ac:dyDescent="0.15">
      <c r="B260" s="6"/>
      <c r="C260" s="7" t="s">
        <v>632</v>
      </c>
      <c r="D260" s="6" t="s">
        <v>638</v>
      </c>
      <c r="E260" s="9" t="s">
        <v>635</v>
      </c>
      <c r="F260" s="7">
        <v>10</v>
      </c>
      <c r="G260" s="6"/>
      <c r="H260" s="6"/>
      <c r="I260" s="1">
        <f t="shared" si="77"/>
        <v>7</v>
      </c>
      <c r="J260" s="6" t="b">
        <f t="shared" si="78"/>
        <v>0</v>
      </c>
      <c r="K260" s="6">
        <f t="shared" si="79"/>
        <v>5</v>
      </c>
      <c r="L260" s="6">
        <f t="shared" si="80"/>
        <v>0</v>
      </c>
      <c r="M260" s="1">
        <v>7</v>
      </c>
      <c r="N260" s="6" t="b">
        <v>0</v>
      </c>
      <c r="O260" s="6">
        <v>5</v>
      </c>
      <c r="P260" s="6">
        <v>0</v>
      </c>
      <c r="Q260" s="1" t="b">
        <f t="shared" si="97"/>
        <v>1</v>
      </c>
      <c r="R260" s="6" t="b">
        <f t="shared" si="98"/>
        <v>1</v>
      </c>
      <c r="S260" s="6" t="b">
        <f t="shared" si="99"/>
        <v>1</v>
      </c>
      <c r="T260" s="6" t="b">
        <f t="shared" si="100"/>
        <v>1</v>
      </c>
    </row>
    <row r="261" spans="1:20" x14ac:dyDescent="0.15">
      <c r="B261" s="6"/>
      <c r="C261" s="7"/>
      <c r="D261" s="6" t="s">
        <v>342</v>
      </c>
      <c r="E261" s="9" t="s">
        <v>644</v>
      </c>
      <c r="F261" s="7">
        <v>10</v>
      </c>
      <c r="G261" s="6"/>
      <c r="H261" s="6"/>
      <c r="I261" s="1">
        <f t="shared" si="77"/>
        <v>8</v>
      </c>
      <c r="J261" s="6" t="b">
        <f t="shared" si="78"/>
        <v>1</v>
      </c>
      <c r="K261" s="6">
        <f t="shared" si="79"/>
        <v>6</v>
      </c>
      <c r="L261" s="6">
        <f t="shared" si="80"/>
        <v>0</v>
      </c>
      <c r="M261" s="1">
        <v>8</v>
      </c>
      <c r="N261" s="6" t="b">
        <v>1</v>
      </c>
      <c r="O261" s="6">
        <v>6</v>
      </c>
      <c r="P261" s="6">
        <v>0</v>
      </c>
      <c r="Q261" s="1" t="b">
        <f t="shared" si="97"/>
        <v>1</v>
      </c>
      <c r="R261" s="6" t="b">
        <f t="shared" si="98"/>
        <v>1</v>
      </c>
      <c r="S261" s="6" t="b">
        <f t="shared" si="99"/>
        <v>1</v>
      </c>
      <c r="T261" s="6" t="b">
        <f t="shared" si="100"/>
        <v>1</v>
      </c>
    </row>
    <row r="262" spans="1:20" x14ac:dyDescent="0.15">
      <c r="B262" s="6"/>
      <c r="C262" s="7" t="s">
        <v>636</v>
      </c>
      <c r="D262" s="6" t="s">
        <v>638</v>
      </c>
      <c r="E262" s="9" t="s">
        <v>637</v>
      </c>
      <c r="F262" s="7">
        <v>10</v>
      </c>
      <c r="G262" s="6"/>
      <c r="H262" s="6"/>
      <c r="I262" s="1">
        <f t="shared" si="77"/>
        <v>9</v>
      </c>
      <c r="J262" s="6" t="b">
        <f t="shared" si="78"/>
        <v>0</v>
      </c>
      <c r="K262" s="6">
        <f t="shared" si="79"/>
        <v>0</v>
      </c>
      <c r="L262" s="6" t="e">
        <f t="shared" si="80"/>
        <v>#NUM!</v>
      </c>
      <c r="M262" s="1">
        <v>9</v>
      </c>
      <c r="N262" s="6" t="b">
        <v>0</v>
      </c>
      <c r="O262" s="6">
        <v>0</v>
      </c>
      <c r="P262" s="6" t="e">
        <v>#NUM!</v>
      </c>
      <c r="Q262" s="1" t="b">
        <f t="shared" si="97"/>
        <v>1</v>
      </c>
      <c r="R262" s="6" t="b">
        <f t="shared" si="98"/>
        <v>1</v>
      </c>
      <c r="S262" s="6" t="b">
        <f t="shared" si="99"/>
        <v>1</v>
      </c>
      <c r="T262" s="6" t="b">
        <f t="shared" si="100"/>
        <v>1</v>
      </c>
    </row>
    <row r="263" spans="1:20" x14ac:dyDescent="0.15">
      <c r="B263" s="6"/>
      <c r="C263" s="6"/>
      <c r="D263" s="6" t="s">
        <v>342</v>
      </c>
      <c r="E263" s="9" t="s">
        <v>645</v>
      </c>
      <c r="F263" s="7">
        <v>10</v>
      </c>
      <c r="G263" s="6"/>
      <c r="H263" s="6"/>
      <c r="I263" s="1">
        <f t="shared" si="77"/>
        <v>10</v>
      </c>
      <c r="J263" s="6" t="b">
        <f t="shared" si="78"/>
        <v>1</v>
      </c>
      <c r="K263" s="6">
        <f t="shared" si="79"/>
        <v>0</v>
      </c>
      <c r="L263" s="6" t="e">
        <f t="shared" si="80"/>
        <v>#NUM!</v>
      </c>
      <c r="M263" s="1">
        <v>10</v>
      </c>
      <c r="N263" s="6" t="b">
        <v>1</v>
      </c>
      <c r="O263" s="6">
        <v>0</v>
      </c>
      <c r="P263" s="6" t="e">
        <v>#NUM!</v>
      </c>
      <c r="Q263" s="1" t="b">
        <f t="shared" si="97"/>
        <v>1</v>
      </c>
      <c r="R263" s="6" t="b">
        <f t="shared" si="98"/>
        <v>1</v>
      </c>
      <c r="S263" s="6" t="b">
        <f t="shared" si="99"/>
        <v>1</v>
      </c>
      <c r="T263" s="6" t="b">
        <f t="shared" si="100"/>
        <v>1</v>
      </c>
    </row>
    <row r="264" spans="1:20" s="2" customFormat="1" x14ac:dyDescent="0.15">
      <c r="A264" s="2" t="s">
        <v>195</v>
      </c>
      <c r="B264" s="2" t="s">
        <v>196</v>
      </c>
      <c r="C264" s="2" t="s">
        <v>197</v>
      </c>
      <c r="E264" s="11">
        <v>0</v>
      </c>
      <c r="F264" s="13">
        <v>0</v>
      </c>
      <c r="G264" s="2">
        <v>2</v>
      </c>
      <c r="I264" s="3" t="str">
        <f>TESTadd(E264,F264,G264)</f>
        <v>0</v>
      </c>
      <c r="M264" s="3" t="s">
        <v>14</v>
      </c>
      <c r="Q264" s="3" t="b">
        <f t="shared" ref="Q264:Q267" si="101">getText(I264)=getText(M264)</f>
        <v>1</v>
      </c>
    </row>
    <row r="265" spans="1:20" x14ac:dyDescent="0.15">
      <c r="C265" t="s">
        <v>198</v>
      </c>
      <c r="E265" s="9">
        <v>0</v>
      </c>
      <c r="F265" s="17" t="s">
        <v>200</v>
      </c>
      <c r="G265">
        <v>2</v>
      </c>
      <c r="I265" s="1" t="str">
        <f t="shared" ref="I265:I267" si="102">TESTadd(E265,F265,G265)</f>
        <v>00</v>
      </c>
      <c r="M265" s="1" t="s">
        <v>97</v>
      </c>
      <c r="Q265" s="1" t="b">
        <f t="shared" si="101"/>
        <v>1</v>
      </c>
      <c r="R265" s="6"/>
      <c r="S265" s="6"/>
    </row>
    <row r="266" spans="1:20" x14ac:dyDescent="0.15">
      <c r="C266" t="s">
        <v>199</v>
      </c>
      <c r="E266" s="9" t="s">
        <v>200</v>
      </c>
      <c r="F266" s="17" t="s">
        <v>119</v>
      </c>
      <c r="G266">
        <v>2</v>
      </c>
      <c r="I266" s="1" t="str">
        <f t="shared" si="102"/>
        <v>00</v>
      </c>
      <c r="M266" s="1" t="s">
        <v>97</v>
      </c>
      <c r="Q266" s="1" t="b">
        <f>getText(I266)=getText(M266)</f>
        <v>1</v>
      </c>
      <c r="R266" s="6"/>
      <c r="S266" s="6"/>
    </row>
    <row r="267" spans="1:20" x14ac:dyDescent="0.15">
      <c r="B267" s="2" t="s">
        <v>201</v>
      </c>
      <c r="C267" s="2" t="s">
        <v>202</v>
      </c>
      <c r="D267" s="2" t="s">
        <v>203</v>
      </c>
      <c r="E267" s="3">
        <v>1</v>
      </c>
      <c r="F267" s="2">
        <v>1</v>
      </c>
      <c r="G267" s="2">
        <v>2</v>
      </c>
      <c r="H267" s="2"/>
      <c r="I267" s="3" t="str">
        <f t="shared" si="102"/>
        <v>10</v>
      </c>
      <c r="J267" s="2"/>
      <c r="K267" s="2"/>
      <c r="L267" s="2"/>
      <c r="M267" s="3" t="s">
        <v>15</v>
      </c>
      <c r="N267" s="2"/>
      <c r="O267" s="2"/>
      <c r="P267" s="2"/>
      <c r="Q267" s="3" t="b">
        <f t="shared" si="101"/>
        <v>1</v>
      </c>
      <c r="R267" s="6"/>
      <c r="S267" s="6"/>
    </row>
    <row r="268" spans="1:20" x14ac:dyDescent="0.15">
      <c r="D268" t="s">
        <v>204</v>
      </c>
      <c r="E268" s="1">
        <v>9</v>
      </c>
      <c r="F268">
        <v>1</v>
      </c>
      <c r="G268">
        <v>10</v>
      </c>
      <c r="I268" s="1" t="str">
        <f t="shared" ref="I268:I269" si="103">TESTadd(E268,F268,G268)</f>
        <v>10</v>
      </c>
      <c r="M268" s="1" t="s">
        <v>15</v>
      </c>
      <c r="Q268" s="1" t="b">
        <f t="shared" ref="Q268:Q269" si="104">getText(I268)=getText(M268)</f>
        <v>1</v>
      </c>
      <c r="R268" s="6"/>
      <c r="S268" s="6"/>
    </row>
    <row r="269" spans="1:20" x14ac:dyDescent="0.15">
      <c r="D269" t="s">
        <v>205</v>
      </c>
      <c r="E269" s="9" t="s">
        <v>206</v>
      </c>
      <c r="F269" s="17">
        <v>1</v>
      </c>
      <c r="G269">
        <v>16</v>
      </c>
      <c r="I269" s="1" t="str">
        <f t="shared" si="103"/>
        <v>10</v>
      </c>
      <c r="M269" s="1" t="s">
        <v>15</v>
      </c>
      <c r="Q269" s="1" t="b">
        <f t="shared" si="104"/>
        <v>1</v>
      </c>
      <c r="R269" s="6"/>
      <c r="S269" s="6"/>
    </row>
    <row r="270" spans="1:20" x14ac:dyDescent="0.15">
      <c r="C270" s="2" t="s">
        <v>207</v>
      </c>
      <c r="D270" s="2" t="s">
        <v>203</v>
      </c>
      <c r="E270" s="11" t="s">
        <v>209</v>
      </c>
      <c r="F270" s="13" t="s">
        <v>210</v>
      </c>
      <c r="G270" s="2">
        <v>2</v>
      </c>
      <c r="H270" s="2"/>
      <c r="I270" s="3" t="str">
        <f t="shared" ref="I270" si="105">TESTadd(E270,F270,G270)</f>
        <v>100</v>
      </c>
      <c r="J270" s="2"/>
      <c r="K270" s="2"/>
      <c r="L270" s="2"/>
      <c r="M270" s="3" t="s">
        <v>21</v>
      </c>
      <c r="N270" s="2"/>
      <c r="O270" s="2"/>
      <c r="P270" s="2"/>
      <c r="Q270" s="3" t="b">
        <f t="shared" ref="Q270:Q272" si="106">getText(I270)=getText(M270)</f>
        <v>1</v>
      </c>
      <c r="R270" s="6"/>
      <c r="S270" s="6"/>
    </row>
    <row r="271" spans="1:20" x14ac:dyDescent="0.15">
      <c r="D271" t="s">
        <v>204</v>
      </c>
      <c r="E271" s="9" t="s">
        <v>212</v>
      </c>
      <c r="F271" s="17" t="s">
        <v>213</v>
      </c>
      <c r="G271">
        <v>10</v>
      </c>
      <c r="I271" s="1" t="str">
        <f t="shared" ref="I271" si="107">TESTadd(E271,F271,G271)</f>
        <v>100</v>
      </c>
      <c r="M271" s="1" t="s">
        <v>21</v>
      </c>
      <c r="Q271" s="1" t="b">
        <f t="shared" si="106"/>
        <v>1</v>
      </c>
      <c r="R271" s="6"/>
      <c r="S271" s="6"/>
    </row>
    <row r="272" spans="1:20" x14ac:dyDescent="0.15">
      <c r="D272" t="s">
        <v>205</v>
      </c>
      <c r="E272" s="9" t="s">
        <v>214</v>
      </c>
      <c r="F272" s="17" t="s">
        <v>215</v>
      </c>
      <c r="G272">
        <v>16</v>
      </c>
      <c r="I272" s="1" t="str">
        <f t="shared" ref="I272" si="108">TESTadd(E272,F272,G272)</f>
        <v>100</v>
      </c>
      <c r="M272" s="1" t="s">
        <v>21</v>
      </c>
      <c r="Q272" s="1" t="b">
        <f t="shared" si="106"/>
        <v>1</v>
      </c>
      <c r="R272" s="6"/>
      <c r="S272" s="6"/>
    </row>
    <row r="273" spans="2:19" x14ac:dyDescent="0.15">
      <c r="C273" s="2" t="s">
        <v>208</v>
      </c>
      <c r="D273" s="2" t="s">
        <v>203</v>
      </c>
      <c r="E273" s="11" t="s">
        <v>216</v>
      </c>
      <c r="F273" s="13" t="s">
        <v>217</v>
      </c>
      <c r="G273" s="2">
        <v>2</v>
      </c>
      <c r="H273" s="2"/>
      <c r="I273" s="3" t="str">
        <f t="shared" ref="I273" si="109">TESTadd(E273,F273,G273)</f>
        <v>1000</v>
      </c>
      <c r="J273" s="2"/>
      <c r="K273" s="2"/>
      <c r="L273" s="2"/>
      <c r="M273" s="3" t="s">
        <v>34</v>
      </c>
      <c r="N273" s="2"/>
      <c r="O273" s="2"/>
      <c r="P273" s="2"/>
      <c r="Q273" s="3" t="b">
        <f t="shared" ref="Q273:Q275" si="110">getText(I273)=getText(M273)</f>
        <v>1</v>
      </c>
      <c r="R273" s="6"/>
      <c r="S273" s="6"/>
    </row>
    <row r="274" spans="2:19" x14ac:dyDescent="0.15">
      <c r="C274" s="6"/>
      <c r="D274" s="6" t="s">
        <v>204</v>
      </c>
      <c r="E274" s="9" t="s">
        <v>218</v>
      </c>
      <c r="F274" s="14" t="s">
        <v>219</v>
      </c>
      <c r="G274" s="6">
        <v>10</v>
      </c>
      <c r="H274" s="6"/>
      <c r="I274" s="1" t="str">
        <f t="shared" ref="I274:I275" si="111">TESTadd(E274,F274,G274)</f>
        <v>1000</v>
      </c>
      <c r="J274" s="6"/>
      <c r="K274" s="6"/>
      <c r="L274" s="6"/>
      <c r="M274" s="1" t="s">
        <v>34</v>
      </c>
      <c r="N274" s="6"/>
      <c r="O274" s="6"/>
      <c r="P274" s="6"/>
      <c r="Q274" s="1" t="b">
        <f t="shared" si="110"/>
        <v>1</v>
      </c>
      <c r="R274" s="6"/>
      <c r="S274" s="6"/>
    </row>
    <row r="275" spans="2:19" x14ac:dyDescent="0.15">
      <c r="D275" t="s">
        <v>205</v>
      </c>
      <c r="E275" s="9" t="s">
        <v>220</v>
      </c>
      <c r="F275" s="17" t="s">
        <v>219</v>
      </c>
      <c r="G275">
        <v>16</v>
      </c>
      <c r="I275" s="1" t="str">
        <f t="shared" si="111"/>
        <v>1000</v>
      </c>
      <c r="M275" s="1" t="s">
        <v>34</v>
      </c>
      <c r="Q275" s="1" t="b">
        <f t="shared" si="110"/>
        <v>1</v>
      </c>
      <c r="R275" s="6"/>
      <c r="S275" s="6"/>
    </row>
    <row r="276" spans="2:19" x14ac:dyDescent="0.15">
      <c r="B276" s="2" t="s">
        <v>229</v>
      </c>
      <c r="C276" s="2" t="s">
        <v>248</v>
      </c>
      <c r="D276" s="2" t="s">
        <v>203</v>
      </c>
      <c r="E276" s="11" t="s">
        <v>252</v>
      </c>
      <c r="F276" s="13" t="s">
        <v>252</v>
      </c>
      <c r="G276" s="2">
        <v>2</v>
      </c>
      <c r="H276" s="2"/>
      <c r="I276" s="3" t="str">
        <f t="shared" ref="I276:I286" si="112">TESTadd(E276,F276,G276)</f>
        <v>0</v>
      </c>
      <c r="J276" s="2"/>
      <c r="K276" s="2"/>
      <c r="L276" s="2"/>
      <c r="M276" s="3" t="s">
        <v>14</v>
      </c>
      <c r="N276" s="2"/>
      <c r="O276" s="2"/>
      <c r="P276" s="2"/>
      <c r="Q276" s="3" t="b">
        <f t="shared" ref="Q276:Q278" si="113">getText(I276)=getText(M276)</f>
        <v>1</v>
      </c>
      <c r="R276" s="6"/>
      <c r="S276" s="6"/>
    </row>
    <row r="277" spans="2:19" x14ac:dyDescent="0.15">
      <c r="B277" t="s">
        <v>316</v>
      </c>
      <c r="D277" s="6" t="s">
        <v>204</v>
      </c>
      <c r="E277" s="9" t="s">
        <v>253</v>
      </c>
      <c r="F277" s="17" t="s">
        <v>254</v>
      </c>
      <c r="G277" s="6">
        <v>10</v>
      </c>
      <c r="I277" s="1" t="str">
        <f t="shared" si="112"/>
        <v>0</v>
      </c>
      <c r="M277" s="1" t="s">
        <v>14</v>
      </c>
      <c r="Q277" s="1" t="b">
        <f t="shared" si="113"/>
        <v>1</v>
      </c>
      <c r="R277" s="6"/>
      <c r="S277" s="6"/>
    </row>
    <row r="278" spans="2:19" x14ac:dyDescent="0.15">
      <c r="B278" t="s">
        <v>317</v>
      </c>
      <c r="D278" t="s">
        <v>205</v>
      </c>
      <c r="E278" s="9" t="s">
        <v>254</v>
      </c>
      <c r="F278" s="17" t="s">
        <v>254</v>
      </c>
      <c r="G278">
        <v>16</v>
      </c>
      <c r="I278" s="1" t="str">
        <f t="shared" si="112"/>
        <v>0</v>
      </c>
      <c r="M278" s="1" t="s">
        <v>14</v>
      </c>
      <c r="Q278" s="1" t="b">
        <f t="shared" si="113"/>
        <v>1</v>
      </c>
      <c r="R278" s="6"/>
      <c r="S278" s="6"/>
    </row>
    <row r="279" spans="2:19" x14ac:dyDescent="0.15">
      <c r="C279" s="2" t="s">
        <v>249</v>
      </c>
      <c r="D279" s="2" t="s">
        <v>203</v>
      </c>
      <c r="E279" s="11" t="s">
        <v>252</v>
      </c>
      <c r="F279" s="13" t="s">
        <v>255</v>
      </c>
      <c r="G279" s="2">
        <v>2</v>
      </c>
      <c r="H279" s="2"/>
      <c r="I279" s="3" t="str">
        <f t="shared" si="112"/>
        <v>1</v>
      </c>
      <c r="J279" s="2"/>
      <c r="K279" s="2"/>
      <c r="L279" s="2"/>
      <c r="M279" s="3" t="s">
        <v>44</v>
      </c>
      <c r="N279" s="2"/>
      <c r="O279" s="2"/>
      <c r="P279" s="2"/>
      <c r="Q279" s="3" t="b">
        <f t="shared" ref="Q279:Q285" si="114">getText(I279)=getText(M279)</f>
        <v>1</v>
      </c>
      <c r="R279" s="6"/>
      <c r="S279" s="6"/>
    </row>
    <row r="280" spans="2:19" x14ac:dyDescent="0.15">
      <c r="D280" s="6" t="s">
        <v>204</v>
      </c>
      <c r="E280" s="9" t="s">
        <v>253</v>
      </c>
      <c r="F280" s="17" t="s">
        <v>256</v>
      </c>
      <c r="G280" s="6">
        <v>10</v>
      </c>
      <c r="I280" s="1" t="str">
        <f t="shared" si="112"/>
        <v>9</v>
      </c>
      <c r="M280" s="1" t="s">
        <v>100</v>
      </c>
      <c r="Q280" s="1" t="b">
        <f t="shared" si="114"/>
        <v>1</v>
      </c>
      <c r="R280" s="6"/>
      <c r="S280" s="6"/>
    </row>
    <row r="281" spans="2:19" x14ac:dyDescent="0.15">
      <c r="D281" t="s">
        <v>205</v>
      </c>
      <c r="E281" s="9" t="s">
        <v>252</v>
      </c>
      <c r="F281" s="17" t="s">
        <v>257</v>
      </c>
      <c r="G281">
        <v>16</v>
      </c>
      <c r="I281" s="1" t="str">
        <f t="shared" si="112"/>
        <v>F</v>
      </c>
      <c r="M281" s="1" t="s">
        <v>98</v>
      </c>
      <c r="Q281" s="1" t="b">
        <f t="shared" si="114"/>
        <v>1</v>
      </c>
      <c r="R281" s="6"/>
      <c r="S281" s="6"/>
    </row>
    <row r="282" spans="2:19" x14ac:dyDescent="0.15">
      <c r="C282" s="2" t="s">
        <v>250</v>
      </c>
      <c r="D282" s="2" t="s">
        <v>203</v>
      </c>
      <c r="E282" s="11" t="s">
        <v>44</v>
      </c>
      <c r="F282" s="13" t="s">
        <v>254</v>
      </c>
      <c r="G282" s="2">
        <v>2</v>
      </c>
      <c r="H282" s="2"/>
      <c r="I282" s="3" t="str">
        <f t="shared" si="112"/>
        <v>1</v>
      </c>
      <c r="J282" s="2"/>
      <c r="K282" s="2"/>
      <c r="L282" s="2"/>
      <c r="M282" s="3" t="s">
        <v>44</v>
      </c>
      <c r="N282" s="2"/>
      <c r="O282" s="2"/>
      <c r="P282" s="2"/>
      <c r="Q282" s="3" t="b">
        <f t="shared" si="114"/>
        <v>1</v>
      </c>
      <c r="R282" s="6"/>
      <c r="S282" s="6"/>
    </row>
    <row r="283" spans="2:19" x14ac:dyDescent="0.15">
      <c r="D283" s="6" t="s">
        <v>204</v>
      </c>
      <c r="E283" s="9" t="s">
        <v>100</v>
      </c>
      <c r="F283" s="14" t="s">
        <v>258</v>
      </c>
      <c r="G283" s="6">
        <v>10</v>
      </c>
      <c r="H283" s="6"/>
      <c r="I283" s="1" t="str">
        <f t="shared" si="112"/>
        <v>9</v>
      </c>
      <c r="J283" s="6"/>
      <c r="K283" s="6"/>
      <c r="L283" s="6"/>
      <c r="M283" s="1" t="s">
        <v>100</v>
      </c>
      <c r="N283" s="6"/>
      <c r="O283" s="6"/>
      <c r="P283" s="6"/>
      <c r="Q283" s="1" t="b">
        <f t="shared" si="114"/>
        <v>1</v>
      </c>
      <c r="R283" s="6"/>
      <c r="S283" s="6"/>
    </row>
    <row r="284" spans="2:19" x14ac:dyDescent="0.15">
      <c r="D284" t="s">
        <v>205</v>
      </c>
      <c r="E284" s="9" t="s">
        <v>98</v>
      </c>
      <c r="F284" s="17" t="s">
        <v>254</v>
      </c>
      <c r="G284">
        <v>16</v>
      </c>
      <c r="I284" s="1" t="str">
        <f t="shared" si="112"/>
        <v>F</v>
      </c>
      <c r="M284" s="1" t="s">
        <v>98</v>
      </c>
      <c r="Q284" s="1" t="b">
        <f t="shared" si="114"/>
        <v>1</v>
      </c>
      <c r="R284" s="6"/>
      <c r="S284" s="6"/>
    </row>
    <row r="285" spans="2:19" x14ac:dyDescent="0.15">
      <c r="C285" s="2" t="s">
        <v>251</v>
      </c>
      <c r="D285" s="2" t="s">
        <v>203</v>
      </c>
      <c r="E285" s="11" t="s">
        <v>44</v>
      </c>
      <c r="F285" s="13" t="s">
        <v>44</v>
      </c>
      <c r="G285" s="2">
        <v>2</v>
      </c>
      <c r="H285" s="2"/>
      <c r="I285" s="3" t="str">
        <f t="shared" si="112"/>
        <v>10</v>
      </c>
      <c r="J285" s="2"/>
      <c r="K285" s="2"/>
      <c r="L285" s="2"/>
      <c r="M285" s="3" t="s">
        <v>15</v>
      </c>
      <c r="N285" s="2"/>
      <c r="O285" s="2"/>
      <c r="P285" s="2"/>
      <c r="Q285" s="3" t="b">
        <f t="shared" si="114"/>
        <v>1</v>
      </c>
      <c r="R285" s="6"/>
      <c r="S285" s="6"/>
    </row>
    <row r="286" spans="2:19" x14ac:dyDescent="0.15">
      <c r="D286" s="6" t="s">
        <v>267</v>
      </c>
      <c r="E286" s="9" t="s">
        <v>100</v>
      </c>
      <c r="F286" s="17" t="s">
        <v>100</v>
      </c>
      <c r="G286" s="6">
        <v>10</v>
      </c>
      <c r="I286" s="1" t="str">
        <f t="shared" si="112"/>
        <v>18</v>
      </c>
      <c r="M286" s="1" t="s">
        <v>238</v>
      </c>
      <c r="Q286" s="1" t="b">
        <f t="shared" ref="Q286:Q289" si="115">getText(I286)=getText(M286)</f>
        <v>1</v>
      </c>
      <c r="R286" s="6"/>
      <c r="S286" s="6"/>
    </row>
    <row r="287" spans="2:19" x14ac:dyDescent="0.15">
      <c r="D287" t="s">
        <v>268</v>
      </c>
      <c r="E287" s="9" t="s">
        <v>271</v>
      </c>
      <c r="F287" s="17" t="s">
        <v>266</v>
      </c>
      <c r="G287" s="7">
        <v>10</v>
      </c>
      <c r="I287" s="1" t="str">
        <f t="shared" ref="I287:I289" si="116">TESTadd(E287,F287,G287)</f>
        <v>10</v>
      </c>
      <c r="M287" s="1" t="s">
        <v>15</v>
      </c>
      <c r="Q287" s="1" t="b">
        <f t="shared" si="115"/>
        <v>1</v>
      </c>
      <c r="R287" s="6"/>
      <c r="S287" s="6"/>
    </row>
    <row r="288" spans="2:19" x14ac:dyDescent="0.15">
      <c r="D288" t="s">
        <v>269</v>
      </c>
      <c r="E288" s="9" t="s">
        <v>98</v>
      </c>
      <c r="F288" s="17" t="s">
        <v>98</v>
      </c>
      <c r="G288">
        <v>16</v>
      </c>
      <c r="I288" s="1" t="str">
        <f t="shared" si="116"/>
        <v>1E</v>
      </c>
      <c r="M288" s="1" t="s">
        <v>239</v>
      </c>
      <c r="Q288" s="1" t="b">
        <f t="shared" si="115"/>
        <v>1</v>
      </c>
      <c r="R288" s="6"/>
      <c r="S288" s="6"/>
    </row>
    <row r="289" spans="2:19" x14ac:dyDescent="0.15">
      <c r="D289" t="s">
        <v>270</v>
      </c>
      <c r="E289" s="9" t="s">
        <v>272</v>
      </c>
      <c r="F289" s="17" t="s">
        <v>273</v>
      </c>
      <c r="G289">
        <v>16</v>
      </c>
      <c r="I289" s="1" t="str">
        <f t="shared" si="116"/>
        <v>10</v>
      </c>
      <c r="M289" s="1" t="s">
        <v>15</v>
      </c>
      <c r="Q289" s="1" t="b">
        <f t="shared" si="115"/>
        <v>1</v>
      </c>
      <c r="R289" s="6"/>
      <c r="S289" s="6"/>
    </row>
    <row r="290" spans="2:19" x14ac:dyDescent="0.15">
      <c r="B290" s="6"/>
      <c r="C290" s="2" t="s">
        <v>221</v>
      </c>
      <c r="D290" s="2" t="s">
        <v>203</v>
      </c>
      <c r="E290" s="11" t="s">
        <v>231</v>
      </c>
      <c r="F290" s="13" t="s">
        <v>242</v>
      </c>
      <c r="G290" s="2">
        <v>2</v>
      </c>
      <c r="H290" s="2"/>
      <c r="I290" s="3" t="str">
        <f t="shared" ref="I290" si="117">TESTadd(E290,F290,G290)</f>
        <v>01</v>
      </c>
      <c r="J290" s="2"/>
      <c r="K290" s="2"/>
      <c r="L290" s="2"/>
      <c r="M290" s="3" t="s">
        <v>231</v>
      </c>
      <c r="N290" s="2"/>
      <c r="O290" s="2"/>
      <c r="P290" s="2"/>
      <c r="Q290" s="3" t="b">
        <f t="shared" ref="Q290:Q292" si="118">getText(I290)=getText(M290)</f>
        <v>1</v>
      </c>
      <c r="R290" s="6"/>
      <c r="S290" s="6"/>
    </row>
    <row r="291" spans="2:19" x14ac:dyDescent="0.15">
      <c r="D291" t="s">
        <v>204</v>
      </c>
      <c r="E291" s="9" t="s">
        <v>233</v>
      </c>
      <c r="F291" s="17" t="s">
        <v>242</v>
      </c>
      <c r="G291">
        <v>10</v>
      </c>
      <c r="I291" s="1" t="str">
        <f t="shared" ref="I291" si="119">TESTadd(E291,F291,G291)</f>
        <v>09</v>
      </c>
      <c r="M291" s="1" t="s">
        <v>233</v>
      </c>
      <c r="Q291" s="1" t="b">
        <f t="shared" si="118"/>
        <v>1</v>
      </c>
      <c r="R291" s="6"/>
      <c r="S291" s="6"/>
    </row>
    <row r="292" spans="2:19" x14ac:dyDescent="0.15">
      <c r="D292" t="s">
        <v>205</v>
      </c>
      <c r="E292" s="9" t="s">
        <v>236</v>
      </c>
      <c r="F292" s="17" t="s">
        <v>230</v>
      </c>
      <c r="G292">
        <v>16</v>
      </c>
      <c r="I292" s="1" t="str">
        <f t="shared" ref="I292" si="120">TESTadd(E292,F292,G292)</f>
        <v>0F</v>
      </c>
      <c r="M292" s="1" t="s">
        <v>236</v>
      </c>
      <c r="Q292" s="1" t="b">
        <f t="shared" si="118"/>
        <v>1</v>
      </c>
      <c r="R292" s="6"/>
      <c r="S292" s="6"/>
    </row>
    <row r="293" spans="2:19" x14ac:dyDescent="0.15">
      <c r="C293" s="2" t="s">
        <v>222</v>
      </c>
      <c r="D293" s="2" t="s">
        <v>203</v>
      </c>
      <c r="E293" s="11" t="s">
        <v>232</v>
      </c>
      <c r="F293" s="13" t="s">
        <v>232</v>
      </c>
      <c r="G293" s="2">
        <v>2</v>
      </c>
      <c r="H293" s="2"/>
      <c r="I293" s="3" t="str">
        <f t="shared" ref="I293" si="121">TESTadd(E293,F293,G293)</f>
        <v>10</v>
      </c>
      <c r="J293" s="2"/>
      <c r="K293" s="2"/>
      <c r="L293" s="2"/>
      <c r="M293" s="3" t="s">
        <v>15</v>
      </c>
      <c r="N293" s="2"/>
      <c r="O293" s="2"/>
      <c r="P293" s="2"/>
      <c r="Q293" s="3" t="b">
        <f t="shared" ref="Q293:Q295" si="122">getText(I293)=getText(M293)</f>
        <v>1</v>
      </c>
      <c r="R293" s="6"/>
      <c r="S293" s="6"/>
    </row>
    <row r="294" spans="2:19" x14ac:dyDescent="0.15">
      <c r="D294" t="s">
        <v>204</v>
      </c>
      <c r="E294" s="9" t="s">
        <v>234</v>
      </c>
      <c r="F294" s="17" t="s">
        <v>235</v>
      </c>
      <c r="G294">
        <v>10</v>
      </c>
      <c r="I294" s="1" t="str">
        <f t="shared" ref="I294" si="123">TESTadd(E294,F294,G294)</f>
        <v>18</v>
      </c>
      <c r="M294" s="1" t="s">
        <v>238</v>
      </c>
      <c r="Q294" s="1" t="b">
        <f t="shared" si="122"/>
        <v>1</v>
      </c>
      <c r="R294" s="6"/>
      <c r="S294" s="6"/>
    </row>
    <row r="295" spans="2:19" x14ac:dyDescent="0.15">
      <c r="D295" t="s">
        <v>205</v>
      </c>
      <c r="E295" s="9" t="s">
        <v>237</v>
      </c>
      <c r="F295" s="17" t="s">
        <v>237</v>
      </c>
      <c r="G295">
        <v>16</v>
      </c>
      <c r="I295" s="1" t="str">
        <f t="shared" ref="I295" si="124">TESTadd(E295,F295,G295)</f>
        <v>1E</v>
      </c>
      <c r="M295" s="1" t="s">
        <v>239</v>
      </c>
      <c r="Q295" s="1" t="b">
        <f t="shared" si="122"/>
        <v>1</v>
      </c>
      <c r="R295" s="6"/>
      <c r="S295" s="6"/>
    </row>
    <row r="296" spans="2:19" x14ac:dyDescent="0.15">
      <c r="C296" s="2" t="s">
        <v>223</v>
      </c>
      <c r="D296" s="2" t="s">
        <v>203</v>
      </c>
      <c r="E296" s="11" t="s">
        <v>231</v>
      </c>
      <c r="F296" s="13" t="s">
        <v>240</v>
      </c>
      <c r="G296" s="2">
        <v>2</v>
      </c>
      <c r="H296" s="2"/>
      <c r="I296" s="3" t="str">
        <f t="shared" ref="I296:I298" si="125">TESTadd(E296,F296,G296)</f>
        <v>11</v>
      </c>
      <c r="J296" s="2"/>
      <c r="K296" s="2"/>
      <c r="L296" s="2"/>
      <c r="M296" s="3" t="s">
        <v>18</v>
      </c>
      <c r="N296" s="2"/>
      <c r="O296" s="2"/>
      <c r="P296" s="2"/>
      <c r="Q296" s="3" t="b">
        <f t="shared" ref="Q296:Q298" si="126">getText(I296)=getText(M296)</f>
        <v>1</v>
      </c>
      <c r="R296" s="6"/>
      <c r="S296" s="6"/>
    </row>
    <row r="297" spans="2:19" x14ac:dyDescent="0.15">
      <c r="D297" t="s">
        <v>204</v>
      </c>
      <c r="E297" s="9" t="s">
        <v>233</v>
      </c>
      <c r="F297" s="17" t="s">
        <v>243</v>
      </c>
      <c r="G297">
        <v>10</v>
      </c>
      <c r="I297" s="1" t="str">
        <f t="shared" si="125"/>
        <v>99</v>
      </c>
      <c r="M297" s="1" t="s">
        <v>211</v>
      </c>
      <c r="Q297" s="1" t="b">
        <f t="shared" si="126"/>
        <v>1</v>
      </c>
      <c r="R297" s="6"/>
      <c r="S297" s="6"/>
    </row>
    <row r="298" spans="2:19" x14ac:dyDescent="0.15">
      <c r="D298" t="s">
        <v>205</v>
      </c>
      <c r="E298" s="9" t="s">
        <v>236</v>
      </c>
      <c r="F298" s="17" t="s">
        <v>244</v>
      </c>
      <c r="G298">
        <v>16</v>
      </c>
      <c r="I298" s="1" t="str">
        <f t="shared" si="125"/>
        <v>FF</v>
      </c>
      <c r="M298" s="1" t="s">
        <v>22</v>
      </c>
      <c r="Q298" s="1" t="b">
        <f t="shared" si="126"/>
        <v>1</v>
      </c>
      <c r="R298" s="6"/>
      <c r="S298" s="6"/>
    </row>
    <row r="299" spans="2:19" x14ac:dyDescent="0.15">
      <c r="C299" s="2" t="s">
        <v>224</v>
      </c>
      <c r="D299" s="2" t="s">
        <v>203</v>
      </c>
      <c r="E299" s="11" t="s">
        <v>232</v>
      </c>
      <c r="F299" s="13" t="s">
        <v>209</v>
      </c>
      <c r="G299" s="2">
        <v>2</v>
      </c>
      <c r="H299" s="2"/>
      <c r="I299" s="3" t="str">
        <f t="shared" ref="I299:I301" si="127">TESTadd(E299,F299,G299)</f>
        <v>100</v>
      </c>
      <c r="J299" s="2"/>
      <c r="K299" s="2"/>
      <c r="L299" s="2"/>
      <c r="M299" s="3" t="s">
        <v>21</v>
      </c>
      <c r="N299" s="2"/>
      <c r="O299" s="2"/>
      <c r="P299" s="2"/>
      <c r="Q299" s="3" t="b">
        <f t="shared" ref="Q299:Q301" si="128">getText(I299)=getText(M299)</f>
        <v>1</v>
      </c>
      <c r="R299" s="6"/>
      <c r="S299" s="6"/>
    </row>
    <row r="300" spans="2:19" x14ac:dyDescent="0.15">
      <c r="C300" s="6"/>
      <c r="D300" s="6" t="s">
        <v>204</v>
      </c>
      <c r="E300" s="9" t="s">
        <v>234</v>
      </c>
      <c r="F300" s="14" t="s">
        <v>245</v>
      </c>
      <c r="G300" s="6">
        <v>10</v>
      </c>
      <c r="H300" s="6"/>
      <c r="I300" s="1" t="str">
        <f t="shared" si="127"/>
        <v>108</v>
      </c>
      <c r="J300" s="6"/>
      <c r="K300" s="6"/>
      <c r="L300" s="6"/>
      <c r="M300" s="1" t="s">
        <v>246</v>
      </c>
      <c r="N300" s="6"/>
      <c r="O300" s="6"/>
      <c r="P300" s="6"/>
      <c r="Q300" s="1" t="b">
        <f t="shared" si="128"/>
        <v>1</v>
      </c>
      <c r="R300" s="6"/>
      <c r="S300" s="6"/>
    </row>
    <row r="301" spans="2:19" x14ac:dyDescent="0.15">
      <c r="D301" t="s">
        <v>205</v>
      </c>
      <c r="E301" s="9" t="s">
        <v>237</v>
      </c>
      <c r="F301" s="17" t="s">
        <v>214</v>
      </c>
      <c r="G301">
        <v>16</v>
      </c>
      <c r="I301" s="1" t="str">
        <f t="shared" si="127"/>
        <v>10E</v>
      </c>
      <c r="M301" s="1" t="s">
        <v>247</v>
      </c>
      <c r="Q301" s="1" t="b">
        <f t="shared" si="128"/>
        <v>1</v>
      </c>
      <c r="R301" s="6"/>
      <c r="S301" s="6"/>
    </row>
    <row r="302" spans="2:19" x14ac:dyDescent="0.15">
      <c r="C302" s="2" t="s">
        <v>225</v>
      </c>
      <c r="D302" s="2" t="s">
        <v>203</v>
      </c>
      <c r="E302" s="11" t="s">
        <v>259</v>
      </c>
      <c r="F302" s="13" t="s">
        <v>241</v>
      </c>
      <c r="G302" s="2">
        <v>2</v>
      </c>
      <c r="H302" s="2"/>
      <c r="I302" s="3" t="str">
        <f t="shared" ref="I302:I304" si="129">TESTadd(E302,F302,G302)</f>
        <v>100</v>
      </c>
      <c r="J302" s="2"/>
      <c r="K302" s="2"/>
      <c r="L302" s="2"/>
      <c r="M302" s="3" t="s">
        <v>21</v>
      </c>
      <c r="N302" s="2"/>
      <c r="O302" s="2"/>
      <c r="P302" s="2"/>
      <c r="Q302" s="3" t="b">
        <f t="shared" ref="Q302:Q304" si="130">getText(I302)=getText(M302)</f>
        <v>1</v>
      </c>
      <c r="R302" s="6"/>
      <c r="S302" s="6"/>
    </row>
    <row r="303" spans="2:19" x14ac:dyDescent="0.15">
      <c r="C303" s="6"/>
      <c r="D303" s="6" t="s">
        <v>204</v>
      </c>
      <c r="E303" s="9" t="s">
        <v>245</v>
      </c>
      <c r="F303" s="14" t="s">
        <v>234</v>
      </c>
      <c r="G303" s="6">
        <v>10</v>
      </c>
      <c r="H303" s="6"/>
      <c r="I303" s="1" t="str">
        <f t="shared" si="129"/>
        <v>108</v>
      </c>
      <c r="J303" s="6"/>
      <c r="K303" s="6"/>
      <c r="L303" s="6"/>
      <c r="M303" s="1" t="s">
        <v>246</v>
      </c>
      <c r="N303" s="6"/>
      <c r="O303" s="6"/>
      <c r="P303" s="6"/>
      <c r="Q303" s="1" t="b">
        <f t="shared" si="130"/>
        <v>1</v>
      </c>
      <c r="R303" s="6"/>
      <c r="S303" s="6"/>
    </row>
    <row r="304" spans="2:19" x14ac:dyDescent="0.15">
      <c r="C304" s="6"/>
      <c r="D304" s="6" t="s">
        <v>205</v>
      </c>
      <c r="E304" s="9" t="s">
        <v>214</v>
      </c>
      <c r="F304" s="14" t="s">
        <v>237</v>
      </c>
      <c r="G304" s="6">
        <v>16</v>
      </c>
      <c r="H304" s="6"/>
      <c r="I304" s="1" t="str">
        <f t="shared" si="129"/>
        <v>10E</v>
      </c>
      <c r="J304" s="6"/>
      <c r="K304" s="6"/>
      <c r="L304" s="6"/>
      <c r="M304" s="1" t="s">
        <v>247</v>
      </c>
      <c r="N304" s="6"/>
      <c r="O304" s="6"/>
      <c r="P304" s="6"/>
      <c r="Q304" s="1" t="b">
        <f t="shared" si="130"/>
        <v>1</v>
      </c>
      <c r="R304" s="6"/>
      <c r="S304" s="6"/>
    </row>
    <row r="305" spans="1:19" x14ac:dyDescent="0.15">
      <c r="C305" s="2" t="s">
        <v>226</v>
      </c>
      <c r="D305" s="2" t="s">
        <v>203</v>
      </c>
      <c r="E305" s="11" t="s">
        <v>259</v>
      </c>
      <c r="F305" s="13" t="s">
        <v>241</v>
      </c>
      <c r="G305" s="2">
        <v>2</v>
      </c>
      <c r="H305" s="2"/>
      <c r="I305" s="3" t="str">
        <f t="shared" ref="I305:I307" si="131">TESTadd(E305,F305,G305)</f>
        <v>100</v>
      </c>
      <c r="J305" s="2"/>
      <c r="K305" s="2"/>
      <c r="L305" s="2"/>
      <c r="M305" s="3" t="s">
        <v>21</v>
      </c>
      <c r="N305" s="2"/>
      <c r="O305" s="2"/>
      <c r="P305" s="2"/>
      <c r="Q305" s="3" t="b">
        <f t="shared" ref="Q305:Q307" si="132">getText(I305)=getText(M305)</f>
        <v>1</v>
      </c>
      <c r="R305" s="6"/>
      <c r="S305" s="6"/>
    </row>
    <row r="306" spans="1:19" x14ac:dyDescent="0.15">
      <c r="C306" s="6"/>
      <c r="D306" s="6" t="s">
        <v>204</v>
      </c>
      <c r="E306" s="9" t="s">
        <v>245</v>
      </c>
      <c r="F306" s="14" t="s">
        <v>234</v>
      </c>
      <c r="G306" s="6">
        <v>10</v>
      </c>
      <c r="H306" s="6"/>
      <c r="I306" s="1" t="str">
        <f t="shared" si="131"/>
        <v>108</v>
      </c>
      <c r="J306" s="6"/>
      <c r="K306" s="6"/>
      <c r="L306" s="6"/>
      <c r="M306" s="1" t="s">
        <v>246</v>
      </c>
      <c r="N306" s="6"/>
      <c r="O306" s="6"/>
      <c r="P306" s="6"/>
      <c r="Q306" s="1" t="b">
        <f t="shared" si="132"/>
        <v>1</v>
      </c>
      <c r="R306" s="6"/>
      <c r="S306" s="6"/>
    </row>
    <row r="307" spans="1:19" x14ac:dyDescent="0.15">
      <c r="C307" s="6"/>
      <c r="D307" s="6" t="s">
        <v>205</v>
      </c>
      <c r="E307" s="9" t="s">
        <v>214</v>
      </c>
      <c r="F307" s="14" t="s">
        <v>237</v>
      </c>
      <c r="G307" s="6">
        <v>16</v>
      </c>
      <c r="H307" s="6"/>
      <c r="I307" s="1" t="str">
        <f t="shared" si="131"/>
        <v>10E</v>
      </c>
      <c r="J307" s="6"/>
      <c r="K307" s="6"/>
      <c r="L307" s="6"/>
      <c r="M307" s="1" t="s">
        <v>247</v>
      </c>
      <c r="N307" s="6"/>
      <c r="O307" s="6"/>
      <c r="P307" s="6"/>
      <c r="Q307" s="1" t="b">
        <f t="shared" si="132"/>
        <v>1</v>
      </c>
      <c r="R307" s="6"/>
      <c r="S307" s="6"/>
    </row>
    <row r="308" spans="1:19" x14ac:dyDescent="0.15">
      <c r="C308" s="2" t="s">
        <v>227</v>
      </c>
      <c r="D308" s="2" t="s">
        <v>203</v>
      </c>
      <c r="E308" s="11" t="s">
        <v>259</v>
      </c>
      <c r="F308" s="13" t="s">
        <v>260</v>
      </c>
      <c r="G308" s="2">
        <v>2</v>
      </c>
      <c r="H308" s="2"/>
      <c r="I308" s="3" t="str">
        <f t="shared" ref="I308:I310" si="133">TESTadd(E308,F308,G308)</f>
        <v>101</v>
      </c>
      <c r="J308" s="2"/>
      <c r="K308" s="2"/>
      <c r="L308" s="2"/>
      <c r="M308" s="3" t="s">
        <v>263</v>
      </c>
      <c r="N308" s="2"/>
      <c r="O308" s="2"/>
      <c r="P308" s="2"/>
      <c r="Q308" s="3" t="b">
        <f t="shared" ref="Q308:Q310" si="134">getText(I308)=getText(M308)</f>
        <v>1</v>
      </c>
      <c r="R308" s="6"/>
      <c r="S308" s="6"/>
    </row>
    <row r="309" spans="1:19" x14ac:dyDescent="0.15">
      <c r="C309" s="6"/>
      <c r="D309" s="6" t="s">
        <v>204</v>
      </c>
      <c r="E309" s="9" t="s">
        <v>245</v>
      </c>
      <c r="F309" s="14" t="s">
        <v>261</v>
      </c>
      <c r="G309" s="6">
        <v>10</v>
      </c>
      <c r="H309" s="6"/>
      <c r="I309" s="1" t="str">
        <f t="shared" si="133"/>
        <v>189</v>
      </c>
      <c r="J309" s="6"/>
      <c r="K309" s="6"/>
      <c r="L309" s="6"/>
      <c r="M309" s="1" t="s">
        <v>264</v>
      </c>
      <c r="N309" s="6"/>
      <c r="O309" s="6"/>
      <c r="P309" s="6"/>
      <c r="Q309" s="1" t="b">
        <f t="shared" si="134"/>
        <v>1</v>
      </c>
      <c r="R309" s="6"/>
      <c r="S309" s="6"/>
    </row>
    <row r="310" spans="1:19" x14ac:dyDescent="0.15">
      <c r="C310" s="6"/>
      <c r="D310" s="6" t="s">
        <v>205</v>
      </c>
      <c r="E310" s="9" t="s">
        <v>214</v>
      </c>
      <c r="F310" s="14" t="s">
        <v>262</v>
      </c>
      <c r="G310" s="6">
        <v>16</v>
      </c>
      <c r="H310" s="6"/>
      <c r="I310" s="1" t="str">
        <f t="shared" si="133"/>
        <v>1EF</v>
      </c>
      <c r="J310" s="6"/>
      <c r="K310" s="6"/>
      <c r="L310" s="6"/>
      <c r="M310" s="1" t="s">
        <v>265</v>
      </c>
      <c r="N310" s="6"/>
      <c r="O310" s="6"/>
      <c r="P310" s="6"/>
      <c r="Q310" s="1" t="b">
        <f t="shared" si="134"/>
        <v>1</v>
      </c>
      <c r="R310" s="6"/>
      <c r="S310" s="6"/>
    </row>
    <row r="311" spans="1:19" x14ac:dyDescent="0.15">
      <c r="C311" s="2" t="s">
        <v>228</v>
      </c>
      <c r="D311" s="2" t="s">
        <v>203</v>
      </c>
      <c r="E311" s="11" t="s">
        <v>259</v>
      </c>
      <c r="F311" s="13" t="s">
        <v>259</v>
      </c>
      <c r="G311" s="2">
        <v>2</v>
      </c>
      <c r="H311" s="2"/>
      <c r="I311" s="3" t="str">
        <f t="shared" ref="I311:I313" si="135">TESTadd(E311,F311,G311)</f>
        <v>110</v>
      </c>
      <c r="J311" s="2"/>
      <c r="K311" s="2"/>
      <c r="L311" s="2"/>
      <c r="M311" s="3" t="s">
        <v>274</v>
      </c>
      <c r="N311" s="2"/>
      <c r="O311" s="2"/>
      <c r="P311" s="2"/>
      <c r="Q311" s="3" t="b">
        <f t="shared" ref="Q311:Q337" si="136">getText(I311)=getText(M311)</f>
        <v>1</v>
      </c>
      <c r="R311" s="6"/>
      <c r="S311" s="6"/>
    </row>
    <row r="312" spans="1:19" x14ac:dyDescent="0.15">
      <c r="C312" s="6"/>
      <c r="D312" s="6" t="s">
        <v>204</v>
      </c>
      <c r="E312" s="9" t="s">
        <v>245</v>
      </c>
      <c r="F312" s="14" t="s">
        <v>245</v>
      </c>
      <c r="G312" s="6">
        <v>10</v>
      </c>
      <c r="H312" s="6"/>
      <c r="I312" s="1" t="str">
        <f t="shared" si="135"/>
        <v>198</v>
      </c>
      <c r="J312" s="6"/>
      <c r="K312" s="6"/>
      <c r="L312" s="6"/>
      <c r="M312" s="1" t="s">
        <v>275</v>
      </c>
      <c r="N312" s="6"/>
      <c r="O312" s="6"/>
      <c r="P312" s="6"/>
      <c r="Q312" s="1" t="b">
        <f t="shared" si="136"/>
        <v>1</v>
      </c>
      <c r="R312" s="6"/>
      <c r="S312" s="6"/>
    </row>
    <row r="313" spans="1:19" x14ac:dyDescent="0.15">
      <c r="C313" s="6"/>
      <c r="D313" s="6" t="s">
        <v>205</v>
      </c>
      <c r="E313" s="9" t="s">
        <v>214</v>
      </c>
      <c r="F313" s="14" t="s">
        <v>214</v>
      </c>
      <c r="G313" s="6">
        <v>16</v>
      </c>
      <c r="H313" s="6"/>
      <c r="I313" s="1" t="str">
        <f t="shared" si="135"/>
        <v>1FE</v>
      </c>
      <c r="J313" s="6"/>
      <c r="K313" s="6"/>
      <c r="L313" s="6"/>
      <c r="M313" s="1" t="s">
        <v>276</v>
      </c>
      <c r="N313" s="6"/>
      <c r="O313" s="6"/>
      <c r="P313" s="6"/>
      <c r="Q313" s="1" t="b">
        <f t="shared" si="136"/>
        <v>1</v>
      </c>
      <c r="R313" s="6"/>
      <c r="S313" s="6"/>
    </row>
    <row r="314" spans="1:19" x14ac:dyDescent="0.15">
      <c r="A314" s="2" t="s">
        <v>459</v>
      </c>
      <c r="B314" s="2" t="s">
        <v>196</v>
      </c>
      <c r="C314" s="2" t="s">
        <v>197</v>
      </c>
      <c r="D314" s="2"/>
      <c r="E314" s="11">
        <v>0</v>
      </c>
      <c r="F314" s="13">
        <v>0</v>
      </c>
      <c r="G314" s="2">
        <v>2</v>
      </c>
      <c r="H314" s="2"/>
      <c r="I314" s="3" t="str">
        <f>TESTsubtract(E314,F314,G314)</f>
        <v>0</v>
      </c>
      <c r="J314" s="2" t="b">
        <f>TESTsubtractByRef1(E314,F314,G314)</f>
        <v>0</v>
      </c>
      <c r="K314" s="2"/>
      <c r="L314" s="2"/>
      <c r="M314" s="3" t="s">
        <v>14</v>
      </c>
      <c r="N314" s="2" t="b">
        <v>0</v>
      </c>
      <c r="O314" s="2"/>
      <c r="P314" s="2"/>
      <c r="Q314" s="3" t="b">
        <f t="shared" si="136"/>
        <v>1</v>
      </c>
      <c r="R314" s="2" t="b">
        <f t="shared" ref="R314:R337" si="137">getText(J314)=getText(N314)</f>
        <v>1</v>
      </c>
      <c r="S314" s="6"/>
    </row>
    <row r="315" spans="1:19" x14ac:dyDescent="0.15">
      <c r="C315" t="s">
        <v>198</v>
      </c>
      <c r="D315" s="6"/>
      <c r="E315" s="9">
        <v>0</v>
      </c>
      <c r="F315" s="17" t="s">
        <v>200</v>
      </c>
      <c r="G315">
        <v>2</v>
      </c>
      <c r="H315" s="6"/>
      <c r="I315" s="1" t="str">
        <f t="shared" ref="I315:I316" si="138">TESTsubtract(E315,F315,G315)</f>
        <v>00</v>
      </c>
      <c r="J315" s="6" t="b">
        <f t="shared" ref="J315:J316" si="139">TESTsubtractByRef1(E315,F315,G315)</f>
        <v>0</v>
      </c>
      <c r="K315" s="6"/>
      <c r="L315" s="6"/>
      <c r="M315" s="1" t="s">
        <v>97</v>
      </c>
      <c r="N315" s="6" t="b">
        <v>0</v>
      </c>
      <c r="O315" s="6"/>
      <c r="P315" s="6"/>
      <c r="Q315" s="1" t="b">
        <f t="shared" si="136"/>
        <v>1</v>
      </c>
      <c r="R315" s="6" t="b">
        <f t="shared" si="137"/>
        <v>1</v>
      </c>
      <c r="S315" s="6"/>
    </row>
    <row r="316" spans="1:19" x14ac:dyDescent="0.15">
      <c r="C316" t="s">
        <v>199</v>
      </c>
      <c r="D316" s="6"/>
      <c r="E316" s="9" t="s">
        <v>200</v>
      </c>
      <c r="F316" s="17" t="s">
        <v>119</v>
      </c>
      <c r="G316">
        <v>2</v>
      </c>
      <c r="H316" s="6"/>
      <c r="I316" s="1" t="str">
        <f t="shared" si="138"/>
        <v>00</v>
      </c>
      <c r="J316" s="6" t="b">
        <f t="shared" si="139"/>
        <v>0</v>
      </c>
      <c r="K316" s="6"/>
      <c r="L316" s="6"/>
      <c r="M316" s="1" t="s">
        <v>97</v>
      </c>
      <c r="N316" s="6" t="b">
        <v>0</v>
      </c>
      <c r="O316" s="6"/>
      <c r="P316" s="6"/>
      <c r="Q316" s="1" t="b">
        <f t="shared" si="136"/>
        <v>1</v>
      </c>
      <c r="R316" s="6" t="b">
        <f t="shared" si="137"/>
        <v>1</v>
      </c>
      <c r="S316" s="6"/>
    </row>
    <row r="317" spans="1:19" x14ac:dyDescent="0.15">
      <c r="B317" s="2" t="s">
        <v>460</v>
      </c>
      <c r="C317" s="2" t="s">
        <v>202</v>
      </c>
      <c r="D317" s="2" t="s">
        <v>46</v>
      </c>
      <c r="E317" s="11" t="s">
        <v>461</v>
      </c>
      <c r="F317" s="13" t="s">
        <v>462</v>
      </c>
      <c r="G317" s="2">
        <v>2</v>
      </c>
      <c r="H317" s="2"/>
      <c r="I317" s="3" t="str">
        <f t="shared" ref="I317" si="140">TESTsubtract(E317,F317,G317)</f>
        <v>0</v>
      </c>
      <c r="J317" s="2" t="b">
        <f t="shared" ref="J317" si="141">TESTsubtractByRef1(E317,F317,G317)</f>
        <v>0</v>
      </c>
      <c r="K317" s="2"/>
      <c r="L317" s="2"/>
      <c r="M317" s="3" t="s">
        <v>14</v>
      </c>
      <c r="N317" s="2" t="b">
        <v>0</v>
      </c>
      <c r="O317" s="2"/>
      <c r="P317" s="2"/>
      <c r="Q317" s="3" t="b">
        <f t="shared" si="136"/>
        <v>1</v>
      </c>
      <c r="R317" s="2" t="b">
        <f t="shared" si="137"/>
        <v>1</v>
      </c>
      <c r="S317" s="6"/>
    </row>
    <row r="318" spans="1:19" x14ac:dyDescent="0.15">
      <c r="D318" t="s">
        <v>47</v>
      </c>
      <c r="E318" s="9" t="s">
        <v>463</v>
      </c>
      <c r="F318" s="14" t="s">
        <v>463</v>
      </c>
      <c r="G318">
        <v>10</v>
      </c>
      <c r="H318" s="6"/>
      <c r="I318" s="1" t="str">
        <f t="shared" ref="I318" si="142">TESTsubtract(E318,F318,G318)</f>
        <v>0</v>
      </c>
      <c r="J318" s="6" t="b">
        <f t="shared" ref="J318" si="143">TESTsubtractByRef1(E318,F318,G318)</f>
        <v>0</v>
      </c>
      <c r="K318" s="6"/>
      <c r="L318" s="6"/>
      <c r="M318" s="1" t="s">
        <v>14</v>
      </c>
      <c r="N318" s="6" t="b">
        <v>0</v>
      </c>
      <c r="O318" s="6"/>
      <c r="P318" s="6"/>
      <c r="Q318" s="1" t="b">
        <f t="shared" si="136"/>
        <v>1</v>
      </c>
      <c r="R318" s="6" t="b">
        <f t="shared" si="137"/>
        <v>1</v>
      </c>
      <c r="S318" s="6"/>
    </row>
    <row r="319" spans="1:19" x14ac:dyDescent="0.15">
      <c r="D319" t="s">
        <v>49</v>
      </c>
      <c r="E319" s="9" t="s">
        <v>464</v>
      </c>
      <c r="F319" s="14" t="s">
        <v>464</v>
      </c>
      <c r="G319">
        <v>16</v>
      </c>
      <c r="H319" s="6"/>
      <c r="I319" s="1" t="str">
        <f t="shared" ref="I319:I322" si="144">TESTsubtract(E319,F319,G319)</f>
        <v>0</v>
      </c>
      <c r="J319" s="6" t="b">
        <f t="shared" ref="J319:J322" si="145">TESTsubtractByRef1(E319,F319,G319)</f>
        <v>0</v>
      </c>
      <c r="K319" s="6"/>
      <c r="L319" s="6"/>
      <c r="M319" s="1" t="s">
        <v>14</v>
      </c>
      <c r="N319" s="6" t="b">
        <v>0</v>
      </c>
      <c r="O319" s="6"/>
      <c r="P319" s="6"/>
      <c r="Q319" s="1" t="b">
        <f t="shared" si="136"/>
        <v>1</v>
      </c>
      <c r="R319" s="6" t="b">
        <f t="shared" si="137"/>
        <v>1</v>
      </c>
      <c r="S319" s="6"/>
    </row>
    <row r="320" spans="1:19" x14ac:dyDescent="0.15">
      <c r="C320" s="2" t="s">
        <v>207</v>
      </c>
      <c r="D320" s="2" t="s">
        <v>46</v>
      </c>
      <c r="E320" s="11" t="s">
        <v>465</v>
      </c>
      <c r="F320" s="13" t="s">
        <v>466</v>
      </c>
      <c r="G320" s="2">
        <v>2</v>
      </c>
      <c r="H320" s="2"/>
      <c r="I320" s="3" t="str">
        <f t="shared" si="144"/>
        <v>01</v>
      </c>
      <c r="J320" s="2" t="b">
        <f t="shared" si="145"/>
        <v>0</v>
      </c>
      <c r="K320" s="2"/>
      <c r="L320" s="2"/>
      <c r="M320" s="3" t="s">
        <v>231</v>
      </c>
      <c r="N320" s="2" t="b">
        <v>0</v>
      </c>
      <c r="O320" s="2"/>
      <c r="P320" s="2"/>
      <c r="Q320" s="3" t="b">
        <f t="shared" si="136"/>
        <v>1</v>
      </c>
      <c r="R320" s="2" t="b">
        <f t="shared" si="137"/>
        <v>1</v>
      </c>
      <c r="S320" s="6"/>
    </row>
    <row r="321" spans="2:19" x14ac:dyDescent="0.15">
      <c r="D321" t="s">
        <v>47</v>
      </c>
      <c r="E321" s="9" t="s">
        <v>465</v>
      </c>
      <c r="F321" s="14" t="s">
        <v>461</v>
      </c>
      <c r="G321">
        <v>10</v>
      </c>
      <c r="H321" s="6"/>
      <c r="I321" s="1" t="str">
        <f t="shared" si="144"/>
        <v>09</v>
      </c>
      <c r="J321" s="6" t="b">
        <f t="shared" si="145"/>
        <v>0</v>
      </c>
      <c r="K321" s="6"/>
      <c r="L321" s="6"/>
      <c r="M321" s="1" t="s">
        <v>233</v>
      </c>
      <c r="N321" s="6" t="b">
        <v>0</v>
      </c>
      <c r="O321" s="6"/>
      <c r="P321" s="6"/>
      <c r="Q321" s="1" t="b">
        <f t="shared" si="136"/>
        <v>1</v>
      </c>
      <c r="R321" s="6" t="b">
        <f t="shared" si="137"/>
        <v>1</v>
      </c>
      <c r="S321" s="6"/>
    </row>
    <row r="322" spans="2:19" x14ac:dyDescent="0.15">
      <c r="D322" t="s">
        <v>49</v>
      </c>
      <c r="E322" s="9" t="s">
        <v>465</v>
      </c>
      <c r="F322" s="14" t="s">
        <v>461</v>
      </c>
      <c r="G322">
        <v>16</v>
      </c>
      <c r="H322" s="6"/>
      <c r="I322" s="1" t="str">
        <f t="shared" si="144"/>
        <v>0F</v>
      </c>
      <c r="J322" s="6" t="b">
        <f t="shared" si="145"/>
        <v>0</v>
      </c>
      <c r="K322" s="6"/>
      <c r="L322" s="6"/>
      <c r="M322" s="1" t="s">
        <v>236</v>
      </c>
      <c r="N322" s="6" t="b">
        <v>0</v>
      </c>
      <c r="O322" s="6"/>
      <c r="P322" s="6"/>
      <c r="Q322" s="1" t="b">
        <f t="shared" si="136"/>
        <v>1</v>
      </c>
      <c r="R322" s="6" t="b">
        <f t="shared" si="137"/>
        <v>1</v>
      </c>
      <c r="S322" s="6"/>
    </row>
    <row r="323" spans="2:19" x14ac:dyDescent="0.15">
      <c r="C323" s="2" t="s">
        <v>208</v>
      </c>
      <c r="D323" s="2" t="s">
        <v>46</v>
      </c>
      <c r="E323" s="11" t="s">
        <v>467</v>
      </c>
      <c r="F323" s="13" t="s">
        <v>461</v>
      </c>
      <c r="G323" s="2">
        <v>2</v>
      </c>
      <c r="H323" s="2"/>
      <c r="I323" s="3" t="str">
        <f t="shared" ref="I323:I325" si="146">TESTsubtract(E323,F323,G323)</f>
        <v>011</v>
      </c>
      <c r="J323" s="2" t="b">
        <f t="shared" ref="J323:J325" si="147">TESTsubtractByRef1(E323,F323,G323)</f>
        <v>0</v>
      </c>
      <c r="K323" s="2"/>
      <c r="L323" s="2"/>
      <c r="M323" s="3" t="s">
        <v>77</v>
      </c>
      <c r="N323" s="2" t="b">
        <v>0</v>
      </c>
      <c r="O323" s="2"/>
      <c r="P323" s="2"/>
      <c r="Q323" s="3" t="b">
        <f t="shared" si="136"/>
        <v>1</v>
      </c>
      <c r="R323" s="2" t="b">
        <f t="shared" si="137"/>
        <v>1</v>
      </c>
      <c r="S323" s="6"/>
    </row>
    <row r="324" spans="2:19" x14ac:dyDescent="0.15">
      <c r="C324" s="6"/>
      <c r="D324" s="6" t="s">
        <v>47</v>
      </c>
      <c r="E324" s="9" t="s">
        <v>21</v>
      </c>
      <c r="F324" s="14" t="s">
        <v>468</v>
      </c>
      <c r="G324" s="6">
        <v>10</v>
      </c>
      <c r="H324" s="6"/>
      <c r="I324" s="1" t="str">
        <f t="shared" si="146"/>
        <v>099</v>
      </c>
      <c r="J324" s="6" t="b">
        <f t="shared" si="147"/>
        <v>0</v>
      </c>
      <c r="K324" s="6"/>
      <c r="L324" s="6"/>
      <c r="M324" s="1" t="s">
        <v>139</v>
      </c>
      <c r="N324" s="6" t="b">
        <v>0</v>
      </c>
      <c r="O324" s="6"/>
      <c r="P324" s="6"/>
      <c r="Q324" s="1" t="b">
        <f t="shared" si="136"/>
        <v>1</v>
      </c>
      <c r="R324" s="6" t="b">
        <f t="shared" si="137"/>
        <v>1</v>
      </c>
      <c r="S324" s="6"/>
    </row>
    <row r="325" spans="2:19" x14ac:dyDescent="0.15">
      <c r="D325" t="s">
        <v>49</v>
      </c>
      <c r="E325" s="9" t="s">
        <v>21</v>
      </c>
      <c r="F325" s="14" t="s">
        <v>461</v>
      </c>
      <c r="G325">
        <v>16</v>
      </c>
      <c r="H325" s="6"/>
      <c r="I325" s="1" t="str">
        <f t="shared" si="146"/>
        <v>0FF</v>
      </c>
      <c r="J325" s="6" t="b">
        <f t="shared" si="147"/>
        <v>0</v>
      </c>
      <c r="K325" s="6"/>
      <c r="L325" s="6"/>
      <c r="M325" s="1" t="s">
        <v>141</v>
      </c>
      <c r="N325" s="6" t="b">
        <v>0</v>
      </c>
      <c r="O325" s="6"/>
      <c r="P325" s="6"/>
      <c r="Q325" s="1" t="b">
        <f t="shared" si="136"/>
        <v>1</v>
      </c>
      <c r="R325" s="6" t="b">
        <f t="shared" si="137"/>
        <v>1</v>
      </c>
      <c r="S325" s="6"/>
    </row>
    <row r="326" spans="2:19" x14ac:dyDescent="0.15">
      <c r="B326" s="2" t="s">
        <v>469</v>
      </c>
      <c r="C326" s="2" t="s">
        <v>470</v>
      </c>
      <c r="D326" s="2" t="s">
        <v>46</v>
      </c>
      <c r="E326" s="11" t="s">
        <v>473</v>
      </c>
      <c r="F326" s="13" t="s">
        <v>475</v>
      </c>
      <c r="G326" s="2">
        <v>2</v>
      </c>
      <c r="H326" s="2"/>
      <c r="I326" s="3" t="str">
        <f t="shared" ref="I326:I334" si="148">TESTsubtract(E326,F326,G326)</f>
        <v>100</v>
      </c>
      <c r="J326" s="2" t="b">
        <f t="shared" ref="J326:J334" si="149">TESTsubtractByRef1(E326,F326,G326)</f>
        <v>0</v>
      </c>
      <c r="K326" s="2"/>
      <c r="L326" s="2"/>
      <c r="M326" s="3" t="s">
        <v>21</v>
      </c>
      <c r="N326" s="2" t="b">
        <v>0</v>
      </c>
      <c r="O326" s="2"/>
      <c r="P326" s="2"/>
      <c r="Q326" s="3" t="b">
        <f t="shared" si="136"/>
        <v>1</v>
      </c>
      <c r="R326" s="2" t="b">
        <f t="shared" si="137"/>
        <v>1</v>
      </c>
      <c r="S326" s="6"/>
    </row>
    <row r="327" spans="2:19" x14ac:dyDescent="0.15">
      <c r="C327" s="6"/>
      <c r="D327" s="6" t="s">
        <v>47</v>
      </c>
      <c r="E327" s="9" t="s">
        <v>478</v>
      </c>
      <c r="F327" s="14" t="s">
        <v>474</v>
      </c>
      <c r="G327" s="6">
        <v>10</v>
      </c>
      <c r="H327" s="6"/>
      <c r="I327" s="1" t="str">
        <f t="shared" si="148"/>
        <v>100</v>
      </c>
      <c r="J327" s="6" t="b">
        <f t="shared" si="149"/>
        <v>0</v>
      </c>
      <c r="K327" s="6"/>
      <c r="L327" s="6"/>
      <c r="M327" s="1" t="s">
        <v>21</v>
      </c>
      <c r="N327" s="6" t="b">
        <v>0</v>
      </c>
      <c r="O327" s="6"/>
      <c r="P327" s="6"/>
      <c r="Q327" s="1" t="b">
        <f t="shared" si="136"/>
        <v>1</v>
      </c>
      <c r="R327" s="6" t="b">
        <f t="shared" si="137"/>
        <v>1</v>
      </c>
      <c r="S327" s="6"/>
    </row>
    <row r="328" spans="2:19" x14ac:dyDescent="0.15">
      <c r="C328" s="6"/>
      <c r="D328" t="s">
        <v>49</v>
      </c>
      <c r="E328" s="9" t="s">
        <v>479</v>
      </c>
      <c r="F328" s="14" t="s">
        <v>477</v>
      </c>
      <c r="G328">
        <v>16</v>
      </c>
      <c r="H328" s="6"/>
      <c r="I328" s="1" t="str">
        <f t="shared" si="148"/>
        <v>100</v>
      </c>
      <c r="J328" s="6" t="b">
        <f t="shared" si="149"/>
        <v>0</v>
      </c>
      <c r="K328" s="6"/>
      <c r="L328" s="6"/>
      <c r="M328" s="1" t="s">
        <v>21</v>
      </c>
      <c r="N328" s="6" t="b">
        <v>0</v>
      </c>
      <c r="O328" s="6"/>
      <c r="P328" s="6"/>
      <c r="Q328" s="1" t="b">
        <f t="shared" si="136"/>
        <v>1</v>
      </c>
      <c r="R328" s="6" t="b">
        <f t="shared" si="137"/>
        <v>1</v>
      </c>
      <c r="S328" s="6"/>
    </row>
    <row r="329" spans="2:19" x14ac:dyDescent="0.15">
      <c r="C329" s="2" t="s">
        <v>471</v>
      </c>
      <c r="D329" s="2" t="s">
        <v>46</v>
      </c>
      <c r="E329" s="11" t="s">
        <v>18</v>
      </c>
      <c r="F329" s="13" t="s">
        <v>31</v>
      </c>
      <c r="G329" s="2">
        <v>2</v>
      </c>
      <c r="H329" s="2"/>
      <c r="I329" s="3" t="str">
        <f t="shared" si="148"/>
        <v>100</v>
      </c>
      <c r="J329" s="2" t="b">
        <f t="shared" si="149"/>
        <v>1</v>
      </c>
      <c r="K329" s="2"/>
      <c r="L329" s="2"/>
      <c r="M329" s="3" t="s">
        <v>21</v>
      </c>
      <c r="N329" s="2" t="b">
        <v>1</v>
      </c>
      <c r="O329" s="2"/>
      <c r="P329" s="2"/>
      <c r="Q329" s="3" t="b">
        <f t="shared" si="136"/>
        <v>1</v>
      </c>
      <c r="R329" s="2" t="b">
        <f t="shared" si="137"/>
        <v>1</v>
      </c>
      <c r="S329" s="6"/>
    </row>
    <row r="330" spans="2:19" x14ac:dyDescent="0.15">
      <c r="C330" s="6"/>
      <c r="D330" s="6" t="s">
        <v>47</v>
      </c>
      <c r="E330" s="9" t="s">
        <v>211</v>
      </c>
      <c r="F330" s="14" t="s">
        <v>478</v>
      </c>
      <c r="G330" s="6">
        <v>10</v>
      </c>
      <c r="H330" s="6"/>
      <c r="I330" s="1" t="str">
        <f t="shared" si="148"/>
        <v>100</v>
      </c>
      <c r="J330" s="6" t="b">
        <f t="shared" si="149"/>
        <v>1</v>
      </c>
      <c r="K330" s="6"/>
      <c r="L330" s="6"/>
      <c r="M330" s="1" t="s">
        <v>21</v>
      </c>
      <c r="N330" s="6" t="b">
        <v>1</v>
      </c>
      <c r="O330" s="6"/>
      <c r="P330" s="6"/>
      <c r="Q330" s="1" t="b">
        <f t="shared" si="136"/>
        <v>1</v>
      </c>
      <c r="R330" s="6" t="b">
        <f t="shared" si="137"/>
        <v>1</v>
      </c>
      <c r="S330" s="6"/>
    </row>
    <row r="331" spans="2:19" x14ac:dyDescent="0.15">
      <c r="C331" s="6"/>
      <c r="D331" t="s">
        <v>49</v>
      </c>
      <c r="E331" s="9" t="s">
        <v>22</v>
      </c>
      <c r="F331" s="14" t="s">
        <v>479</v>
      </c>
      <c r="G331">
        <v>16</v>
      </c>
      <c r="H331" s="6"/>
      <c r="I331" s="1" t="str">
        <f t="shared" si="148"/>
        <v>100</v>
      </c>
      <c r="J331" s="6" t="b">
        <f t="shared" si="149"/>
        <v>1</v>
      </c>
      <c r="K331" s="6"/>
      <c r="L331" s="6"/>
      <c r="M331" s="1" t="s">
        <v>21</v>
      </c>
      <c r="N331" s="6" t="b">
        <v>1</v>
      </c>
      <c r="O331" s="6"/>
      <c r="P331" s="6"/>
      <c r="Q331" s="1" t="b">
        <f t="shared" si="136"/>
        <v>1</v>
      </c>
      <c r="R331" s="6" t="b">
        <f t="shared" si="137"/>
        <v>1</v>
      </c>
      <c r="S331" s="6"/>
    </row>
    <row r="332" spans="2:19" x14ac:dyDescent="0.15">
      <c r="C332" s="2" t="s">
        <v>472</v>
      </c>
      <c r="D332" s="2" t="s">
        <v>46</v>
      </c>
      <c r="E332" s="11" t="s">
        <v>480</v>
      </c>
      <c r="F332" s="13" t="s">
        <v>481</v>
      </c>
      <c r="G332" s="2">
        <v>2</v>
      </c>
      <c r="H332" s="2"/>
      <c r="I332" s="3" t="str">
        <f t="shared" si="148"/>
        <v>001</v>
      </c>
      <c r="J332" s="2" t="b">
        <f t="shared" si="149"/>
        <v>0</v>
      </c>
      <c r="K332" s="2"/>
      <c r="L332" s="2"/>
      <c r="M332" s="3" t="s">
        <v>81</v>
      </c>
      <c r="N332" s="2" t="b">
        <v>0</v>
      </c>
      <c r="O332" s="2"/>
      <c r="P332" s="2"/>
      <c r="Q332" s="3" t="b">
        <f t="shared" si="136"/>
        <v>1</v>
      </c>
      <c r="R332" s="2" t="b">
        <f t="shared" si="137"/>
        <v>1</v>
      </c>
      <c r="S332" s="6"/>
    </row>
    <row r="333" spans="2:19" x14ac:dyDescent="0.15">
      <c r="C333" s="6"/>
      <c r="D333" s="6" t="s">
        <v>47</v>
      </c>
      <c r="E333" s="9" t="s">
        <v>482</v>
      </c>
      <c r="F333" s="14" t="s">
        <v>483</v>
      </c>
      <c r="G333" s="6">
        <v>10</v>
      </c>
      <c r="H333" s="6"/>
      <c r="I333" s="1" t="str">
        <f t="shared" si="148"/>
        <v>001</v>
      </c>
      <c r="J333" s="6" t="b">
        <f t="shared" si="149"/>
        <v>0</v>
      </c>
      <c r="K333" s="6"/>
      <c r="L333" s="6"/>
      <c r="M333" s="1" t="s">
        <v>81</v>
      </c>
      <c r="N333" s="6" t="b">
        <v>0</v>
      </c>
      <c r="O333" s="6"/>
      <c r="P333" s="6"/>
      <c r="Q333" s="1" t="b">
        <f t="shared" si="136"/>
        <v>1</v>
      </c>
      <c r="R333" s="6" t="b">
        <f t="shared" si="137"/>
        <v>1</v>
      </c>
      <c r="S333" s="6"/>
    </row>
    <row r="334" spans="2:19" x14ac:dyDescent="0.15">
      <c r="C334" s="6"/>
      <c r="D334" t="s">
        <v>49</v>
      </c>
      <c r="E334" s="9" t="s">
        <v>484</v>
      </c>
      <c r="F334" s="14" t="s">
        <v>485</v>
      </c>
      <c r="G334">
        <v>16</v>
      </c>
      <c r="H334" s="6"/>
      <c r="I334" s="1" t="str">
        <f t="shared" si="148"/>
        <v>001</v>
      </c>
      <c r="J334" s="6" t="b">
        <f t="shared" si="149"/>
        <v>0</v>
      </c>
      <c r="K334" s="6"/>
      <c r="L334" s="6"/>
      <c r="M334" s="1" t="s">
        <v>81</v>
      </c>
      <c r="N334" s="6" t="b">
        <v>0</v>
      </c>
      <c r="O334" s="6"/>
      <c r="P334" s="6"/>
      <c r="Q334" s="1" t="b">
        <f t="shared" si="136"/>
        <v>1</v>
      </c>
      <c r="R334" s="6" t="b">
        <f t="shared" si="137"/>
        <v>1</v>
      </c>
      <c r="S334" s="6"/>
    </row>
    <row r="335" spans="2:19" x14ac:dyDescent="0.15">
      <c r="C335" s="2" t="s">
        <v>486</v>
      </c>
      <c r="D335" s="2" t="s">
        <v>46</v>
      </c>
      <c r="E335" s="11" t="s">
        <v>487</v>
      </c>
      <c r="F335" s="13" t="s">
        <v>473</v>
      </c>
      <c r="G335" s="2">
        <v>2</v>
      </c>
      <c r="H335" s="2"/>
      <c r="I335" s="3" t="str">
        <f t="shared" ref="I335:I337" si="150">TESTsubtract(E335,F335,G335)</f>
        <v>001</v>
      </c>
      <c r="J335" s="2" t="b">
        <f t="shared" ref="J335:J337" si="151">TESTsubtractByRef1(E335,F335,G335)</f>
        <v>1</v>
      </c>
      <c r="K335" s="2"/>
      <c r="L335" s="2"/>
      <c r="M335" s="3" t="s">
        <v>81</v>
      </c>
      <c r="N335" s="2" t="b">
        <v>1</v>
      </c>
      <c r="O335" s="2"/>
      <c r="P335" s="2"/>
      <c r="Q335" s="3" t="b">
        <f t="shared" si="136"/>
        <v>1</v>
      </c>
      <c r="R335" s="2" t="b">
        <f t="shared" si="137"/>
        <v>1</v>
      </c>
      <c r="S335" s="6"/>
    </row>
    <row r="336" spans="2:19" x14ac:dyDescent="0.15">
      <c r="C336" s="6"/>
      <c r="D336" s="6" t="s">
        <v>47</v>
      </c>
      <c r="E336" s="9" t="s">
        <v>483</v>
      </c>
      <c r="F336" s="14" t="s">
        <v>482</v>
      </c>
      <c r="G336" s="6">
        <v>10</v>
      </c>
      <c r="H336" s="6"/>
      <c r="I336" s="1" t="str">
        <f t="shared" si="150"/>
        <v>001</v>
      </c>
      <c r="J336" s="6" t="b">
        <f t="shared" si="151"/>
        <v>1</v>
      </c>
      <c r="K336" s="6"/>
      <c r="L336" s="6"/>
      <c r="M336" s="1" t="s">
        <v>81</v>
      </c>
      <c r="N336" s="6" t="b">
        <v>1</v>
      </c>
      <c r="O336" s="6"/>
      <c r="P336" s="6"/>
      <c r="Q336" s="1" t="b">
        <f t="shared" si="136"/>
        <v>1</v>
      </c>
      <c r="R336" s="6" t="b">
        <f t="shared" si="137"/>
        <v>1</v>
      </c>
      <c r="S336" s="6"/>
    </row>
    <row r="337" spans="2:19" x14ac:dyDescent="0.15">
      <c r="C337" s="6"/>
      <c r="D337" t="s">
        <v>49</v>
      </c>
      <c r="E337" s="9" t="s">
        <v>488</v>
      </c>
      <c r="F337" s="14" t="s">
        <v>476</v>
      </c>
      <c r="G337">
        <v>16</v>
      </c>
      <c r="H337" s="6"/>
      <c r="I337" s="1" t="str">
        <f t="shared" si="150"/>
        <v>001</v>
      </c>
      <c r="J337" s="6" t="b">
        <f t="shared" si="151"/>
        <v>1</v>
      </c>
      <c r="K337" s="6"/>
      <c r="L337" s="6"/>
      <c r="M337" s="1" t="s">
        <v>81</v>
      </c>
      <c r="N337" s="6" t="b">
        <v>1</v>
      </c>
      <c r="O337" s="6"/>
      <c r="P337" s="6"/>
      <c r="Q337" s="1" t="b">
        <f t="shared" si="136"/>
        <v>1</v>
      </c>
      <c r="R337" s="6" t="b">
        <f t="shared" si="137"/>
        <v>1</v>
      </c>
      <c r="S337" s="6"/>
    </row>
    <row r="338" spans="2:19" x14ac:dyDescent="0.15">
      <c r="C338" s="2" t="s">
        <v>489</v>
      </c>
      <c r="D338" s="2" t="s">
        <v>46</v>
      </c>
      <c r="E338" s="11" t="s">
        <v>492</v>
      </c>
      <c r="F338" s="13" t="s">
        <v>475</v>
      </c>
      <c r="G338" s="2">
        <v>2</v>
      </c>
      <c r="H338" s="2"/>
      <c r="I338" s="3" t="str">
        <f t="shared" ref="I338:I340" si="152">TESTsubtract(E338,F338,G338)</f>
        <v>00001</v>
      </c>
      <c r="J338" s="2" t="b">
        <f t="shared" ref="J338:J340" si="153">TESTsubtractByRef1(E338,F338,G338)</f>
        <v>0</v>
      </c>
      <c r="K338" s="2"/>
      <c r="L338" s="2"/>
      <c r="M338" s="3" t="s">
        <v>501</v>
      </c>
      <c r="N338" s="2" t="b">
        <v>0</v>
      </c>
      <c r="O338" s="2"/>
      <c r="P338" s="2"/>
      <c r="Q338" s="3" t="b">
        <f t="shared" ref="Q338:Q340" si="154">getText(I338)=getText(M338)</f>
        <v>1</v>
      </c>
      <c r="R338" s="2" t="b">
        <f t="shared" ref="R338:R340" si="155">getText(J338)=getText(N338)</f>
        <v>1</v>
      </c>
      <c r="S338" s="6"/>
    </row>
    <row r="339" spans="2:19" x14ac:dyDescent="0.15">
      <c r="C339" s="6"/>
      <c r="D339" s="6" t="s">
        <v>47</v>
      </c>
      <c r="E339" s="9" t="s">
        <v>498</v>
      </c>
      <c r="F339" s="14" t="s">
        <v>494</v>
      </c>
      <c r="G339" s="6">
        <v>10</v>
      </c>
      <c r="H339" s="6"/>
      <c r="I339" s="1" t="str">
        <f t="shared" si="152"/>
        <v>00001</v>
      </c>
      <c r="J339" s="6" t="b">
        <f t="shared" si="153"/>
        <v>0</v>
      </c>
      <c r="K339" s="6"/>
      <c r="L339" s="6"/>
      <c r="M339" s="1" t="s">
        <v>501</v>
      </c>
      <c r="N339" s="6" t="b">
        <v>0</v>
      </c>
      <c r="O339" s="6"/>
      <c r="P339" s="6"/>
      <c r="Q339" s="1" t="b">
        <f t="shared" si="154"/>
        <v>1</v>
      </c>
      <c r="R339" s="6" t="b">
        <f t="shared" si="155"/>
        <v>1</v>
      </c>
      <c r="S339" s="6"/>
    </row>
    <row r="340" spans="2:19" x14ac:dyDescent="0.15">
      <c r="C340" s="6"/>
      <c r="D340" t="s">
        <v>49</v>
      </c>
      <c r="E340" s="9" t="s">
        <v>500</v>
      </c>
      <c r="F340" s="14" t="s">
        <v>496</v>
      </c>
      <c r="G340">
        <v>16</v>
      </c>
      <c r="H340" s="6"/>
      <c r="I340" s="1" t="str">
        <f t="shared" si="152"/>
        <v>00001</v>
      </c>
      <c r="J340" s="6" t="b">
        <f t="shared" si="153"/>
        <v>0</v>
      </c>
      <c r="K340" s="6"/>
      <c r="L340" s="6"/>
      <c r="M340" s="1" t="s">
        <v>501</v>
      </c>
      <c r="N340" s="6" t="b">
        <v>0</v>
      </c>
      <c r="O340" s="6"/>
      <c r="P340" s="6"/>
      <c r="Q340" s="1" t="b">
        <f t="shared" si="154"/>
        <v>1</v>
      </c>
      <c r="R340" s="6" t="b">
        <f t="shared" si="155"/>
        <v>1</v>
      </c>
      <c r="S340" s="6"/>
    </row>
    <row r="341" spans="2:19" x14ac:dyDescent="0.15">
      <c r="C341" s="2" t="s">
        <v>490</v>
      </c>
      <c r="D341" s="2" t="s">
        <v>46</v>
      </c>
      <c r="E341" s="11" t="s">
        <v>18</v>
      </c>
      <c r="F341" s="13" t="s">
        <v>491</v>
      </c>
      <c r="G341" s="2">
        <v>2</v>
      </c>
      <c r="H341" s="2"/>
      <c r="I341" s="3" t="str">
        <f t="shared" ref="I341:I343" si="156">TESTsubtract(E341,F341,G341)</f>
        <v>00001</v>
      </c>
      <c r="J341" s="2" t="b">
        <f t="shared" ref="J341:J343" si="157">TESTsubtractByRef1(E341,F341,G341)</f>
        <v>1</v>
      </c>
      <c r="K341" s="2"/>
      <c r="L341" s="2"/>
      <c r="M341" s="3" t="s">
        <v>501</v>
      </c>
      <c r="N341" s="2" t="b">
        <v>1</v>
      </c>
      <c r="O341" s="2"/>
      <c r="P341" s="2"/>
      <c r="Q341" s="3" t="b">
        <f t="shared" ref="Q341:Q343" si="158">getText(I341)=getText(M341)</f>
        <v>1</v>
      </c>
      <c r="R341" s="2" t="b">
        <f t="shared" ref="R341:R343" si="159">getText(J341)=getText(N341)</f>
        <v>1</v>
      </c>
      <c r="S341" s="6"/>
    </row>
    <row r="342" spans="2:19" x14ac:dyDescent="0.15">
      <c r="C342" s="6"/>
      <c r="D342" s="6" t="s">
        <v>47</v>
      </c>
      <c r="E342" s="9" t="s">
        <v>493</v>
      </c>
      <c r="F342" s="14" t="s">
        <v>497</v>
      </c>
      <c r="G342" s="6">
        <v>10</v>
      </c>
      <c r="H342" s="6"/>
      <c r="I342" s="1" t="str">
        <f t="shared" si="156"/>
        <v>00001</v>
      </c>
      <c r="J342" s="6" t="b">
        <f t="shared" si="157"/>
        <v>1</v>
      </c>
      <c r="K342" s="6"/>
      <c r="L342" s="6"/>
      <c r="M342" s="1" t="s">
        <v>501</v>
      </c>
      <c r="N342" s="6" t="b">
        <v>1</v>
      </c>
      <c r="O342" s="6"/>
      <c r="P342" s="6"/>
      <c r="Q342" s="1" t="b">
        <f t="shared" si="158"/>
        <v>1</v>
      </c>
      <c r="R342" s="6" t="b">
        <f t="shared" si="159"/>
        <v>1</v>
      </c>
      <c r="S342" s="6"/>
    </row>
    <row r="343" spans="2:19" x14ac:dyDescent="0.15">
      <c r="C343" s="6"/>
      <c r="D343" t="s">
        <v>49</v>
      </c>
      <c r="E343" s="9" t="s">
        <v>495</v>
      </c>
      <c r="F343" s="14" t="s">
        <v>499</v>
      </c>
      <c r="G343">
        <v>16</v>
      </c>
      <c r="H343" s="6"/>
      <c r="I343" s="1" t="str">
        <f t="shared" si="156"/>
        <v>00001</v>
      </c>
      <c r="J343" s="6" t="b">
        <f t="shared" si="157"/>
        <v>1</v>
      </c>
      <c r="K343" s="6"/>
      <c r="L343" s="6"/>
      <c r="M343" s="1" t="s">
        <v>501</v>
      </c>
      <c r="N343" s="6" t="b">
        <v>1</v>
      </c>
      <c r="O343" s="6"/>
      <c r="P343" s="6"/>
      <c r="Q343" s="1" t="b">
        <f t="shared" si="158"/>
        <v>1</v>
      </c>
      <c r="R343" s="6" t="b">
        <f t="shared" si="159"/>
        <v>1</v>
      </c>
      <c r="S343" s="6"/>
    </row>
    <row r="344" spans="2:19" x14ac:dyDescent="0.15">
      <c r="B344" s="2" t="s">
        <v>504</v>
      </c>
      <c r="C344" s="2" t="s">
        <v>248</v>
      </c>
      <c r="D344" s="2" t="s">
        <v>46</v>
      </c>
      <c r="E344" s="11" t="s">
        <v>502</v>
      </c>
      <c r="F344" s="13" t="s">
        <v>502</v>
      </c>
      <c r="G344" s="2">
        <v>2</v>
      </c>
      <c r="H344" s="2"/>
      <c r="I344" s="3" t="str">
        <f t="shared" ref="I344:I357" si="160">TESTsubtract(E344,F344,G344)</f>
        <v>00</v>
      </c>
      <c r="J344" s="2" t="b">
        <f t="shared" ref="J344:J357" si="161">TESTsubtractByRef1(E344,F344,G344)</f>
        <v>0</v>
      </c>
      <c r="K344" s="2"/>
      <c r="L344" s="2"/>
      <c r="M344" s="3" t="s">
        <v>97</v>
      </c>
      <c r="N344" s="2" t="b">
        <v>0</v>
      </c>
      <c r="O344" s="2"/>
      <c r="P344" s="2"/>
      <c r="Q344" s="3" t="b">
        <f t="shared" ref="Q344:Q357" si="162">getText(I344)=getText(M344)</f>
        <v>1</v>
      </c>
      <c r="R344" s="2" t="b">
        <f t="shared" ref="R344:R357" si="163">getText(J344)=getText(N344)</f>
        <v>1</v>
      </c>
      <c r="S344" s="6"/>
    </row>
    <row r="345" spans="2:19" x14ac:dyDescent="0.15">
      <c r="D345" s="6" t="s">
        <v>47</v>
      </c>
      <c r="E345" s="9" t="s">
        <v>503</v>
      </c>
      <c r="F345" s="17" t="s">
        <v>503</v>
      </c>
      <c r="G345" s="6">
        <v>10</v>
      </c>
      <c r="I345" s="1" t="str">
        <f t="shared" si="160"/>
        <v>00</v>
      </c>
      <c r="J345" t="b">
        <f t="shared" si="161"/>
        <v>0</v>
      </c>
      <c r="M345" s="1" t="s">
        <v>97</v>
      </c>
      <c r="N345" t="b">
        <v>0</v>
      </c>
      <c r="Q345" s="1" t="b">
        <f t="shared" si="162"/>
        <v>1</v>
      </c>
      <c r="R345" s="6" t="b">
        <f t="shared" si="163"/>
        <v>1</v>
      </c>
      <c r="S345" s="6"/>
    </row>
    <row r="346" spans="2:19" x14ac:dyDescent="0.15">
      <c r="D346" t="s">
        <v>49</v>
      </c>
      <c r="E346" s="9" t="s">
        <v>503</v>
      </c>
      <c r="F346" s="17" t="s">
        <v>503</v>
      </c>
      <c r="G346">
        <v>16</v>
      </c>
      <c r="I346" s="1" t="str">
        <f t="shared" si="160"/>
        <v>00</v>
      </c>
      <c r="J346" t="b">
        <f t="shared" si="161"/>
        <v>0</v>
      </c>
      <c r="M346" s="1" t="s">
        <v>97</v>
      </c>
      <c r="N346" t="b">
        <v>0</v>
      </c>
      <c r="Q346" s="1" t="b">
        <f t="shared" si="162"/>
        <v>1</v>
      </c>
      <c r="R346" s="6" t="b">
        <f t="shared" si="163"/>
        <v>1</v>
      </c>
      <c r="S346" s="6"/>
    </row>
    <row r="347" spans="2:19" x14ac:dyDescent="0.15">
      <c r="C347" s="2" t="s">
        <v>249</v>
      </c>
      <c r="D347" s="2" t="s">
        <v>46</v>
      </c>
      <c r="E347" s="11" t="s">
        <v>505</v>
      </c>
      <c r="F347" s="13" t="s">
        <v>520</v>
      </c>
      <c r="G347" s="2">
        <v>2</v>
      </c>
      <c r="H347" s="2"/>
      <c r="I347" s="3" t="str">
        <f t="shared" si="160"/>
        <v>01</v>
      </c>
      <c r="J347" s="2" t="b">
        <f t="shared" si="161"/>
        <v>0</v>
      </c>
      <c r="K347" s="2"/>
      <c r="L347" s="2"/>
      <c r="M347" s="3" t="s">
        <v>231</v>
      </c>
      <c r="N347" s="2" t="b">
        <v>0</v>
      </c>
      <c r="O347" s="2"/>
      <c r="P347" s="2"/>
      <c r="Q347" s="3" t="b">
        <f t="shared" si="162"/>
        <v>1</v>
      </c>
      <c r="R347" s="2" t="b">
        <f t="shared" si="163"/>
        <v>1</v>
      </c>
      <c r="S347" s="6"/>
    </row>
    <row r="348" spans="2:19" x14ac:dyDescent="0.15">
      <c r="D348" s="6" t="s">
        <v>47</v>
      </c>
      <c r="E348" s="9" t="s">
        <v>396</v>
      </c>
      <c r="F348" s="17" t="s">
        <v>112</v>
      </c>
      <c r="G348" s="6">
        <v>10</v>
      </c>
      <c r="I348" s="1" t="str">
        <f t="shared" si="160"/>
        <v>09</v>
      </c>
      <c r="J348" t="b">
        <f t="shared" si="161"/>
        <v>0</v>
      </c>
      <c r="M348" s="1" t="s">
        <v>233</v>
      </c>
      <c r="N348" t="b">
        <v>0</v>
      </c>
      <c r="Q348" s="1" t="b">
        <f t="shared" si="162"/>
        <v>1</v>
      </c>
      <c r="R348" s="6" t="b">
        <f t="shared" si="163"/>
        <v>1</v>
      </c>
      <c r="S348" s="6"/>
    </row>
    <row r="349" spans="2:19" x14ac:dyDescent="0.15">
      <c r="D349" t="s">
        <v>49</v>
      </c>
      <c r="E349" s="9" t="s">
        <v>540</v>
      </c>
      <c r="F349" s="17" t="s">
        <v>99</v>
      </c>
      <c r="G349">
        <v>16</v>
      </c>
      <c r="I349" s="1" t="str">
        <f t="shared" si="160"/>
        <v>0F</v>
      </c>
      <c r="J349" t="b">
        <f t="shared" si="161"/>
        <v>0</v>
      </c>
      <c r="M349" s="1" t="s">
        <v>236</v>
      </c>
      <c r="N349" t="b">
        <v>0</v>
      </c>
      <c r="Q349" s="1" t="b">
        <f t="shared" si="162"/>
        <v>1</v>
      </c>
      <c r="R349" s="6" t="b">
        <f t="shared" si="163"/>
        <v>1</v>
      </c>
      <c r="S349" s="6"/>
    </row>
    <row r="350" spans="2:19" x14ac:dyDescent="0.15">
      <c r="C350" s="2" t="s">
        <v>250</v>
      </c>
      <c r="D350" s="2" t="s">
        <v>46</v>
      </c>
      <c r="E350" s="11" t="s">
        <v>508</v>
      </c>
      <c r="F350" s="13" t="s">
        <v>506</v>
      </c>
      <c r="G350" s="2">
        <v>2</v>
      </c>
      <c r="H350" s="2"/>
      <c r="I350" s="3" t="str">
        <f t="shared" si="160"/>
        <v>1</v>
      </c>
      <c r="J350" s="2" t="b">
        <f t="shared" si="161"/>
        <v>0</v>
      </c>
      <c r="K350" s="2"/>
      <c r="L350" s="2"/>
      <c r="M350" s="3" t="s">
        <v>44</v>
      </c>
      <c r="N350" s="2" t="b">
        <v>0</v>
      </c>
      <c r="O350" s="2"/>
      <c r="P350" s="2"/>
      <c r="Q350" s="3" t="b">
        <f t="shared" si="162"/>
        <v>1</v>
      </c>
      <c r="R350" s="2" t="b">
        <f t="shared" si="163"/>
        <v>1</v>
      </c>
      <c r="S350" s="6"/>
    </row>
    <row r="351" spans="2:19" x14ac:dyDescent="0.15">
      <c r="D351" s="6" t="s">
        <v>47</v>
      </c>
      <c r="E351" s="9" t="s">
        <v>110</v>
      </c>
      <c r="F351" s="14" t="s">
        <v>506</v>
      </c>
      <c r="G351" s="6">
        <v>10</v>
      </c>
      <c r="H351" s="6"/>
      <c r="I351" s="1" t="str">
        <f t="shared" si="160"/>
        <v>1</v>
      </c>
      <c r="J351" s="6" t="b">
        <f t="shared" si="161"/>
        <v>0</v>
      </c>
      <c r="K351" s="6"/>
      <c r="L351" s="6"/>
      <c r="M351" s="1" t="s">
        <v>44</v>
      </c>
      <c r="N351" s="6" t="b">
        <v>0</v>
      </c>
      <c r="O351" s="6"/>
      <c r="P351" s="6"/>
      <c r="Q351" s="1" t="b">
        <f t="shared" si="162"/>
        <v>1</v>
      </c>
      <c r="R351" s="6" t="b">
        <f t="shared" si="163"/>
        <v>1</v>
      </c>
      <c r="S351" s="6"/>
    </row>
    <row r="352" spans="2:19" x14ac:dyDescent="0.15">
      <c r="D352" t="s">
        <v>49</v>
      </c>
      <c r="E352" s="9" t="s">
        <v>519</v>
      </c>
      <c r="F352" s="17" t="s">
        <v>507</v>
      </c>
      <c r="G352">
        <v>16</v>
      </c>
      <c r="I352" s="1" t="str">
        <f t="shared" si="160"/>
        <v>1</v>
      </c>
      <c r="J352" t="b">
        <f t="shared" si="161"/>
        <v>0</v>
      </c>
      <c r="M352" s="1" t="s">
        <v>44</v>
      </c>
      <c r="N352" t="b">
        <v>0</v>
      </c>
      <c r="Q352" s="1" t="b">
        <f t="shared" si="162"/>
        <v>1</v>
      </c>
      <c r="R352" s="6" t="b">
        <f t="shared" si="163"/>
        <v>1</v>
      </c>
      <c r="S352" s="6"/>
    </row>
    <row r="353" spans="2:19" x14ac:dyDescent="0.15">
      <c r="C353" s="2" t="s">
        <v>251</v>
      </c>
      <c r="D353" s="2" t="s">
        <v>46</v>
      </c>
      <c r="E353" s="11" t="s">
        <v>110</v>
      </c>
      <c r="F353" s="13" t="s">
        <v>110</v>
      </c>
      <c r="G353" s="2">
        <v>2</v>
      </c>
      <c r="H353" s="2"/>
      <c r="I353" s="3" t="str">
        <f t="shared" si="160"/>
        <v>0</v>
      </c>
      <c r="J353" s="2" t="b">
        <f t="shared" si="161"/>
        <v>0</v>
      </c>
      <c r="K353" s="2"/>
      <c r="L353" s="2"/>
      <c r="M353" s="3" t="s">
        <v>14</v>
      </c>
      <c r="N353" s="2" t="b">
        <v>0</v>
      </c>
      <c r="O353" s="2"/>
      <c r="P353" s="2"/>
      <c r="Q353" s="3" t="b">
        <f t="shared" si="162"/>
        <v>1</v>
      </c>
      <c r="R353" s="2" t="b">
        <f t="shared" si="163"/>
        <v>1</v>
      </c>
      <c r="S353" s="6"/>
    </row>
    <row r="354" spans="2:19" x14ac:dyDescent="0.15">
      <c r="D354" s="6" t="s">
        <v>267</v>
      </c>
      <c r="E354" s="9" t="s">
        <v>112</v>
      </c>
      <c r="F354" s="17" t="s">
        <v>112</v>
      </c>
      <c r="G354" s="6">
        <v>10</v>
      </c>
      <c r="I354" s="1" t="str">
        <f t="shared" si="160"/>
        <v>0</v>
      </c>
      <c r="J354" t="b">
        <f t="shared" si="161"/>
        <v>0</v>
      </c>
      <c r="M354" s="1" t="s">
        <v>14</v>
      </c>
      <c r="N354" t="b">
        <v>0</v>
      </c>
      <c r="Q354" s="1" t="b">
        <f t="shared" si="162"/>
        <v>1</v>
      </c>
      <c r="R354" s="6" t="b">
        <f t="shared" si="163"/>
        <v>1</v>
      </c>
      <c r="S354" s="6"/>
    </row>
    <row r="355" spans="2:19" x14ac:dyDescent="0.15">
      <c r="D355" t="s">
        <v>268</v>
      </c>
      <c r="E355" s="9" t="s">
        <v>110</v>
      </c>
      <c r="F355" s="17" t="s">
        <v>110</v>
      </c>
      <c r="G355" s="7">
        <v>10</v>
      </c>
      <c r="I355" s="1" t="str">
        <f t="shared" si="160"/>
        <v>0</v>
      </c>
      <c r="J355" t="b">
        <f t="shared" si="161"/>
        <v>0</v>
      </c>
      <c r="M355" s="1" t="s">
        <v>14</v>
      </c>
      <c r="N355" t="b">
        <v>0</v>
      </c>
      <c r="Q355" s="1" t="b">
        <f t="shared" si="162"/>
        <v>1</v>
      </c>
      <c r="R355" s="6" t="b">
        <f t="shared" si="163"/>
        <v>1</v>
      </c>
      <c r="S355" s="6"/>
    </row>
    <row r="356" spans="2:19" x14ac:dyDescent="0.15">
      <c r="D356" t="s">
        <v>269</v>
      </c>
      <c r="E356" s="9" t="s">
        <v>521</v>
      </c>
      <c r="F356" s="17" t="s">
        <v>521</v>
      </c>
      <c r="G356">
        <v>16</v>
      </c>
      <c r="I356" s="1" t="str">
        <f t="shared" si="160"/>
        <v>0</v>
      </c>
      <c r="J356" t="b">
        <f t="shared" si="161"/>
        <v>0</v>
      </c>
      <c r="M356" s="1" t="s">
        <v>14</v>
      </c>
      <c r="N356" t="b">
        <v>0</v>
      </c>
      <c r="Q356" s="1" t="b">
        <f t="shared" si="162"/>
        <v>1</v>
      </c>
      <c r="R356" s="6" t="b">
        <f t="shared" si="163"/>
        <v>1</v>
      </c>
      <c r="S356" s="6"/>
    </row>
    <row r="357" spans="2:19" x14ac:dyDescent="0.15">
      <c r="D357" t="s">
        <v>270</v>
      </c>
      <c r="E357" s="9" t="s">
        <v>110</v>
      </c>
      <c r="F357" s="17" t="s">
        <v>110</v>
      </c>
      <c r="G357">
        <v>16</v>
      </c>
      <c r="I357" s="1" t="str">
        <f t="shared" si="160"/>
        <v>0</v>
      </c>
      <c r="J357" t="b">
        <f t="shared" si="161"/>
        <v>0</v>
      </c>
      <c r="M357" s="1" t="s">
        <v>14</v>
      </c>
      <c r="N357" t="b">
        <v>0</v>
      </c>
      <c r="Q357" s="1" t="b">
        <f t="shared" si="162"/>
        <v>1</v>
      </c>
      <c r="R357" s="6" t="b">
        <f t="shared" si="163"/>
        <v>1</v>
      </c>
      <c r="S357" s="6"/>
    </row>
    <row r="358" spans="2:19" x14ac:dyDescent="0.15">
      <c r="B358" s="6"/>
      <c r="C358" s="2" t="s">
        <v>221</v>
      </c>
      <c r="D358" s="2" t="s">
        <v>46</v>
      </c>
      <c r="E358" s="11" t="s">
        <v>509</v>
      </c>
      <c r="F358" s="13" t="s">
        <v>509</v>
      </c>
      <c r="G358" s="2">
        <v>2</v>
      </c>
      <c r="H358" s="2"/>
      <c r="I358" s="3" t="str">
        <f t="shared" ref="I358:I360" si="164">TESTsubtract(E358,F358,G358)</f>
        <v>0</v>
      </c>
      <c r="J358" s="2" t="b">
        <f t="shared" ref="J358:J360" si="165">TESTsubtractByRef1(E358,F358,G358)</f>
        <v>0</v>
      </c>
      <c r="K358" s="2"/>
      <c r="L358" s="2"/>
      <c r="M358" s="3" t="s">
        <v>14</v>
      </c>
      <c r="N358" s="2" t="b">
        <v>0</v>
      </c>
      <c r="O358" s="2"/>
      <c r="P358" s="2"/>
      <c r="Q358" s="3" t="b">
        <f t="shared" ref="Q358:Q381" si="166">getText(I358)=getText(M358)</f>
        <v>1</v>
      </c>
      <c r="R358" s="2" t="b">
        <f t="shared" ref="R358:R381" si="167">getText(J358)=getText(N358)</f>
        <v>1</v>
      </c>
      <c r="S358" s="6"/>
    </row>
    <row r="359" spans="2:19" x14ac:dyDescent="0.15">
      <c r="B359" s="6"/>
      <c r="C359" s="6"/>
      <c r="D359" s="6" t="s">
        <v>47</v>
      </c>
      <c r="E359" s="9" t="s">
        <v>510</v>
      </c>
      <c r="F359" s="14" t="s">
        <v>511</v>
      </c>
      <c r="G359" s="6">
        <v>10</v>
      </c>
      <c r="H359" s="6"/>
      <c r="I359" s="1" t="str">
        <f t="shared" si="164"/>
        <v>0</v>
      </c>
      <c r="J359" s="6" t="b">
        <f t="shared" si="165"/>
        <v>0</v>
      </c>
      <c r="K359" s="6"/>
      <c r="L359" s="6"/>
      <c r="M359" s="1" t="s">
        <v>14</v>
      </c>
      <c r="N359" s="6" t="b">
        <v>0</v>
      </c>
      <c r="O359" s="6"/>
      <c r="P359" s="6"/>
      <c r="Q359" s="1" t="b">
        <f t="shared" si="166"/>
        <v>1</v>
      </c>
      <c r="R359" s="6" t="b">
        <f t="shared" si="167"/>
        <v>1</v>
      </c>
      <c r="S359" s="6"/>
    </row>
    <row r="360" spans="2:19" x14ac:dyDescent="0.15">
      <c r="B360" s="6"/>
      <c r="C360" s="6"/>
      <c r="D360" t="s">
        <v>49</v>
      </c>
      <c r="E360" s="9" t="s">
        <v>512</v>
      </c>
      <c r="F360" s="14" t="s">
        <v>513</v>
      </c>
      <c r="G360">
        <v>16</v>
      </c>
      <c r="H360" s="6"/>
      <c r="I360" s="1" t="str">
        <f t="shared" si="164"/>
        <v>0</v>
      </c>
      <c r="J360" s="6" t="b">
        <f t="shared" si="165"/>
        <v>0</v>
      </c>
      <c r="K360" s="6"/>
      <c r="L360" s="6"/>
      <c r="M360" s="1" t="s">
        <v>14</v>
      </c>
      <c r="N360" s="6" t="b">
        <v>0</v>
      </c>
      <c r="O360" s="6"/>
      <c r="P360" s="6"/>
      <c r="Q360" s="1" t="b">
        <f t="shared" si="166"/>
        <v>1</v>
      </c>
      <c r="R360" s="6" t="b">
        <f t="shared" si="167"/>
        <v>1</v>
      </c>
      <c r="S360" s="6"/>
    </row>
    <row r="361" spans="2:19" x14ac:dyDescent="0.15">
      <c r="B361" s="6"/>
      <c r="C361" s="2" t="s">
        <v>222</v>
      </c>
      <c r="D361" s="2" t="s">
        <v>46</v>
      </c>
      <c r="E361" s="11" t="s">
        <v>514</v>
      </c>
      <c r="F361" s="13" t="s">
        <v>509</v>
      </c>
      <c r="G361" s="2">
        <v>2</v>
      </c>
      <c r="H361" s="2"/>
      <c r="I361" s="3" t="str">
        <f t="shared" ref="I361:I381" si="168">TESTsubtract(E361,F361,G361)</f>
        <v>011</v>
      </c>
      <c r="J361" s="2" t="b">
        <f t="shared" ref="J361:J381" si="169">TESTsubtractByRef1(E361,F361,G361)</f>
        <v>0</v>
      </c>
      <c r="K361" s="2"/>
      <c r="L361" s="2"/>
      <c r="M361" s="3" t="s">
        <v>77</v>
      </c>
      <c r="N361" s="2" t="b">
        <v>0</v>
      </c>
      <c r="O361" s="2"/>
      <c r="P361" s="2"/>
      <c r="Q361" s="3" t="b">
        <f t="shared" si="166"/>
        <v>1</v>
      </c>
      <c r="R361" s="2" t="b">
        <f t="shared" si="167"/>
        <v>1</v>
      </c>
      <c r="S361" s="6"/>
    </row>
    <row r="362" spans="2:19" x14ac:dyDescent="0.15">
      <c r="B362" s="6"/>
      <c r="C362" s="6"/>
      <c r="D362" s="6" t="s">
        <v>47</v>
      </c>
      <c r="E362" s="9" t="s">
        <v>527</v>
      </c>
      <c r="F362" s="14" t="s">
        <v>528</v>
      </c>
      <c r="G362" s="6">
        <v>10</v>
      </c>
      <c r="H362" s="6"/>
      <c r="I362" s="1" t="str">
        <f t="shared" si="168"/>
        <v>099</v>
      </c>
      <c r="J362" s="6" t="b">
        <f t="shared" si="169"/>
        <v>0</v>
      </c>
      <c r="K362" s="6"/>
      <c r="L362" s="6"/>
      <c r="M362" s="1" t="s">
        <v>139</v>
      </c>
      <c r="N362" s="6" t="b">
        <v>0</v>
      </c>
      <c r="O362" s="6"/>
      <c r="P362" s="6"/>
      <c r="Q362" s="1" t="b">
        <f t="shared" si="166"/>
        <v>1</v>
      </c>
      <c r="R362" s="6" t="b">
        <f t="shared" si="167"/>
        <v>1</v>
      </c>
      <c r="S362" s="6"/>
    </row>
    <row r="363" spans="2:19" x14ac:dyDescent="0.15">
      <c r="B363" s="6"/>
      <c r="C363" s="6"/>
      <c r="D363" t="s">
        <v>49</v>
      </c>
      <c r="E363" s="9" t="s">
        <v>529</v>
      </c>
      <c r="F363" s="14" t="s">
        <v>530</v>
      </c>
      <c r="G363">
        <v>16</v>
      </c>
      <c r="H363" s="6"/>
      <c r="I363" s="1" t="str">
        <f t="shared" si="168"/>
        <v>0FF</v>
      </c>
      <c r="J363" s="6" t="b">
        <f t="shared" si="169"/>
        <v>0</v>
      </c>
      <c r="K363" s="6"/>
      <c r="L363" s="6"/>
      <c r="M363" s="1" t="s">
        <v>141</v>
      </c>
      <c r="N363" s="6" t="b">
        <v>0</v>
      </c>
      <c r="O363" s="6"/>
      <c r="P363" s="6"/>
      <c r="Q363" s="1" t="b">
        <f t="shared" si="166"/>
        <v>1</v>
      </c>
      <c r="R363" s="6" t="b">
        <f t="shared" si="167"/>
        <v>1</v>
      </c>
      <c r="S363" s="6"/>
    </row>
    <row r="364" spans="2:19" x14ac:dyDescent="0.15">
      <c r="B364" s="6"/>
      <c r="C364" s="2" t="s">
        <v>223</v>
      </c>
      <c r="D364" s="2" t="s">
        <v>46</v>
      </c>
      <c r="E364" s="11" t="s">
        <v>531</v>
      </c>
      <c r="F364" s="13" t="s">
        <v>517</v>
      </c>
      <c r="G364" s="2">
        <v>2</v>
      </c>
      <c r="H364" s="2"/>
      <c r="I364" s="3" t="str">
        <f t="shared" si="168"/>
        <v>010</v>
      </c>
      <c r="J364" s="2" t="b">
        <f t="shared" si="169"/>
        <v>0</v>
      </c>
      <c r="K364" s="2"/>
      <c r="L364" s="2"/>
      <c r="M364" s="3" t="s">
        <v>78</v>
      </c>
      <c r="N364" s="2" t="b">
        <v>0</v>
      </c>
      <c r="O364" s="2"/>
      <c r="P364" s="2"/>
      <c r="Q364" s="3" t="b">
        <f t="shared" si="166"/>
        <v>1</v>
      </c>
      <c r="R364" s="2" t="b">
        <f t="shared" si="167"/>
        <v>1</v>
      </c>
      <c r="S364" s="6"/>
    </row>
    <row r="365" spans="2:19" x14ac:dyDescent="0.15">
      <c r="B365" s="6"/>
      <c r="C365" s="6"/>
      <c r="D365" s="6" t="s">
        <v>47</v>
      </c>
      <c r="E365" s="9" t="s">
        <v>523</v>
      </c>
      <c r="F365" s="14" t="s">
        <v>524</v>
      </c>
      <c r="G365" s="6">
        <v>10</v>
      </c>
      <c r="H365" s="6"/>
      <c r="I365" s="1" t="str">
        <f t="shared" si="168"/>
        <v>090</v>
      </c>
      <c r="J365" s="6" t="b">
        <f t="shared" si="169"/>
        <v>0</v>
      </c>
      <c r="K365" s="6"/>
      <c r="L365" s="6"/>
      <c r="M365" s="1" t="s">
        <v>541</v>
      </c>
      <c r="N365" s="6" t="b">
        <v>0</v>
      </c>
      <c r="O365" s="6"/>
      <c r="P365" s="6"/>
      <c r="Q365" s="1" t="b">
        <f t="shared" si="166"/>
        <v>1</v>
      </c>
      <c r="R365" s="6" t="b">
        <f t="shared" si="167"/>
        <v>1</v>
      </c>
      <c r="S365" s="6"/>
    </row>
    <row r="366" spans="2:19" x14ac:dyDescent="0.15">
      <c r="B366" s="6"/>
      <c r="C366" s="6"/>
      <c r="D366" t="s">
        <v>49</v>
      </c>
      <c r="E366" s="9" t="s">
        <v>526</v>
      </c>
      <c r="F366" s="14" t="s">
        <v>533</v>
      </c>
      <c r="G366">
        <v>16</v>
      </c>
      <c r="H366" s="6"/>
      <c r="I366" s="1" t="str">
        <f t="shared" si="168"/>
        <v>0F0</v>
      </c>
      <c r="J366" s="6" t="b">
        <f t="shared" si="169"/>
        <v>0</v>
      </c>
      <c r="K366" s="6"/>
      <c r="L366" s="6"/>
      <c r="M366" s="1" t="s">
        <v>542</v>
      </c>
      <c r="N366" s="6" t="b">
        <v>0</v>
      </c>
      <c r="O366" s="6"/>
      <c r="P366" s="6"/>
      <c r="Q366" s="1" t="b">
        <f t="shared" si="166"/>
        <v>1</v>
      </c>
      <c r="R366" s="6" t="b">
        <f t="shared" si="167"/>
        <v>1</v>
      </c>
      <c r="S366" s="6"/>
    </row>
    <row r="367" spans="2:19" x14ac:dyDescent="0.15">
      <c r="B367" s="6"/>
      <c r="C367" s="2" t="s">
        <v>224</v>
      </c>
      <c r="D367" s="2" t="s">
        <v>46</v>
      </c>
      <c r="E367" s="11" t="s">
        <v>515</v>
      </c>
      <c r="F367" s="13" t="s">
        <v>517</v>
      </c>
      <c r="G367" s="2">
        <v>2</v>
      </c>
      <c r="H367" s="2"/>
      <c r="I367" s="3" t="str">
        <f t="shared" si="168"/>
        <v>001</v>
      </c>
      <c r="J367" s="2" t="b">
        <f t="shared" si="169"/>
        <v>0</v>
      </c>
      <c r="K367" s="2"/>
      <c r="L367" s="2"/>
      <c r="M367" s="3" t="s">
        <v>81</v>
      </c>
      <c r="N367" s="2" t="b">
        <v>0</v>
      </c>
      <c r="O367" s="2"/>
      <c r="P367" s="2"/>
      <c r="Q367" s="3" t="b">
        <f t="shared" si="166"/>
        <v>1</v>
      </c>
      <c r="R367" s="2" t="b">
        <f t="shared" si="167"/>
        <v>1</v>
      </c>
      <c r="S367" s="6"/>
    </row>
    <row r="368" spans="2:19" x14ac:dyDescent="0.15">
      <c r="B368" s="6"/>
      <c r="C368" s="6"/>
      <c r="D368" s="6" t="s">
        <v>47</v>
      </c>
      <c r="E368" s="9" t="s">
        <v>527</v>
      </c>
      <c r="F368" s="14" t="s">
        <v>524</v>
      </c>
      <c r="G368" s="6">
        <v>10</v>
      </c>
      <c r="H368" s="6"/>
      <c r="I368" s="1" t="str">
        <f t="shared" si="168"/>
        <v>089</v>
      </c>
      <c r="J368" s="6" t="b">
        <f t="shared" si="169"/>
        <v>0</v>
      </c>
      <c r="K368" s="6"/>
      <c r="L368" s="6"/>
      <c r="M368" s="1" t="s">
        <v>543</v>
      </c>
      <c r="N368" s="6" t="b">
        <v>0</v>
      </c>
      <c r="O368" s="6"/>
      <c r="P368" s="6"/>
      <c r="Q368" s="1" t="b">
        <f t="shared" si="166"/>
        <v>1</v>
      </c>
      <c r="R368" s="6" t="b">
        <f t="shared" si="167"/>
        <v>1</v>
      </c>
      <c r="S368" s="6"/>
    </row>
    <row r="369" spans="2:19" x14ac:dyDescent="0.15">
      <c r="B369" s="6"/>
      <c r="C369" s="6"/>
      <c r="D369" t="s">
        <v>49</v>
      </c>
      <c r="E369" s="9" t="s">
        <v>534</v>
      </c>
      <c r="F369" s="14" t="s">
        <v>535</v>
      </c>
      <c r="G369">
        <v>16</v>
      </c>
      <c r="H369" s="6"/>
      <c r="I369" s="1" t="str">
        <f t="shared" si="168"/>
        <v>0EF</v>
      </c>
      <c r="J369" s="6" t="b">
        <f t="shared" si="169"/>
        <v>0</v>
      </c>
      <c r="K369" s="6"/>
      <c r="L369" s="6"/>
      <c r="M369" s="1" t="s">
        <v>544</v>
      </c>
      <c r="N369" s="6" t="b">
        <v>0</v>
      </c>
      <c r="O369" s="6"/>
      <c r="P369" s="6"/>
      <c r="Q369" s="1" t="b">
        <f t="shared" si="166"/>
        <v>1</v>
      </c>
      <c r="R369" s="6" t="b">
        <f t="shared" si="167"/>
        <v>1</v>
      </c>
      <c r="S369" s="6"/>
    </row>
    <row r="370" spans="2:19" x14ac:dyDescent="0.15">
      <c r="B370" s="6"/>
      <c r="C370" s="2" t="s">
        <v>225</v>
      </c>
      <c r="D370" s="2" t="s">
        <v>46</v>
      </c>
      <c r="E370" s="11" t="s">
        <v>517</v>
      </c>
      <c r="F370" s="13" t="s">
        <v>532</v>
      </c>
      <c r="G370" s="2">
        <v>2</v>
      </c>
      <c r="H370" s="2"/>
      <c r="I370" s="3" t="str">
        <f t="shared" si="168"/>
        <v>10</v>
      </c>
      <c r="J370" s="2" t="b">
        <f t="shared" si="169"/>
        <v>0</v>
      </c>
      <c r="K370" s="2"/>
      <c r="L370" s="2"/>
      <c r="M370" s="3" t="s">
        <v>15</v>
      </c>
      <c r="N370" s="2" t="b">
        <v>0</v>
      </c>
      <c r="O370" s="2"/>
      <c r="P370" s="2"/>
      <c r="Q370" s="3" t="b">
        <f t="shared" si="166"/>
        <v>1</v>
      </c>
      <c r="R370" s="2" t="b">
        <f t="shared" si="167"/>
        <v>1</v>
      </c>
      <c r="S370" s="6"/>
    </row>
    <row r="371" spans="2:19" x14ac:dyDescent="0.15">
      <c r="B371" s="6"/>
      <c r="C371" s="6"/>
      <c r="D371" s="6" t="s">
        <v>47</v>
      </c>
      <c r="E371" s="9" t="s">
        <v>524</v>
      </c>
      <c r="F371" s="14" t="s">
        <v>528</v>
      </c>
      <c r="G371" s="6">
        <v>10</v>
      </c>
      <c r="H371" s="6"/>
      <c r="I371" s="1" t="str">
        <f t="shared" si="168"/>
        <v>10</v>
      </c>
      <c r="J371" s="6" t="b">
        <f t="shared" si="169"/>
        <v>0</v>
      </c>
      <c r="K371" s="6"/>
      <c r="L371" s="6"/>
      <c r="M371" s="1" t="s">
        <v>15</v>
      </c>
      <c r="N371" s="6" t="b">
        <v>0</v>
      </c>
      <c r="O371" s="6"/>
      <c r="P371" s="6"/>
      <c r="Q371" s="1" t="b">
        <f t="shared" si="166"/>
        <v>1</v>
      </c>
      <c r="R371" s="6" t="b">
        <f t="shared" si="167"/>
        <v>1</v>
      </c>
      <c r="S371" s="6"/>
    </row>
    <row r="372" spans="2:19" x14ac:dyDescent="0.15">
      <c r="B372" s="6"/>
      <c r="C372" s="6"/>
      <c r="D372" t="s">
        <v>49</v>
      </c>
      <c r="E372" s="9" t="s">
        <v>536</v>
      </c>
      <c r="F372" s="14" t="s">
        <v>530</v>
      </c>
      <c r="G372">
        <v>16</v>
      </c>
      <c r="H372" s="6"/>
      <c r="I372" s="1" t="str">
        <f t="shared" si="168"/>
        <v>10</v>
      </c>
      <c r="J372" s="6" t="b">
        <f t="shared" si="169"/>
        <v>0</v>
      </c>
      <c r="K372" s="6"/>
      <c r="L372" s="6"/>
      <c r="M372" s="1" t="s">
        <v>15</v>
      </c>
      <c r="N372" s="6" t="b">
        <v>0</v>
      </c>
      <c r="O372" s="6"/>
      <c r="P372" s="6"/>
      <c r="Q372" s="1" t="b">
        <f t="shared" si="166"/>
        <v>1</v>
      </c>
      <c r="R372" s="6" t="b">
        <f t="shared" si="167"/>
        <v>1</v>
      </c>
      <c r="S372" s="6"/>
    </row>
    <row r="373" spans="2:19" x14ac:dyDescent="0.15">
      <c r="B373" s="6"/>
      <c r="C373" s="2" t="s">
        <v>226</v>
      </c>
      <c r="D373" s="2" t="s">
        <v>46</v>
      </c>
      <c r="E373" s="11" t="s">
        <v>518</v>
      </c>
      <c r="F373" s="13" t="s">
        <v>516</v>
      </c>
      <c r="G373" s="2">
        <v>2</v>
      </c>
      <c r="H373" s="2"/>
      <c r="I373" s="3" t="str">
        <f t="shared" si="168"/>
        <v>101</v>
      </c>
      <c r="J373" s="2" t="b">
        <f t="shared" si="169"/>
        <v>0</v>
      </c>
      <c r="K373" s="2"/>
      <c r="L373" s="2"/>
      <c r="M373" s="3" t="s">
        <v>263</v>
      </c>
      <c r="N373" s="2" t="b">
        <v>0</v>
      </c>
      <c r="O373" s="2"/>
      <c r="P373" s="2"/>
      <c r="Q373" s="3" t="b">
        <f t="shared" si="166"/>
        <v>1</v>
      </c>
      <c r="R373" s="2" t="b">
        <f t="shared" si="167"/>
        <v>1</v>
      </c>
      <c r="S373" s="6"/>
    </row>
    <row r="374" spans="2:19" x14ac:dyDescent="0.15">
      <c r="B374" s="6"/>
      <c r="C374" s="6"/>
      <c r="D374" s="6" t="s">
        <v>47</v>
      </c>
      <c r="E374" s="9" t="s">
        <v>538</v>
      </c>
      <c r="F374" s="14" t="s">
        <v>528</v>
      </c>
      <c r="G374" s="6">
        <v>10</v>
      </c>
      <c r="H374" s="6"/>
      <c r="I374" s="1" t="str">
        <f t="shared" si="168"/>
        <v>109</v>
      </c>
      <c r="J374" s="6" t="b">
        <f t="shared" si="169"/>
        <v>0</v>
      </c>
      <c r="K374" s="6"/>
      <c r="L374" s="6"/>
      <c r="M374" s="1" t="s">
        <v>522</v>
      </c>
      <c r="N374" s="6" t="b">
        <v>0</v>
      </c>
      <c r="O374" s="6"/>
      <c r="P374" s="6"/>
      <c r="Q374" s="1" t="b">
        <f t="shared" si="166"/>
        <v>1</v>
      </c>
      <c r="R374" s="6" t="b">
        <f t="shared" si="167"/>
        <v>1</v>
      </c>
      <c r="S374" s="6"/>
    </row>
    <row r="375" spans="2:19" x14ac:dyDescent="0.15">
      <c r="B375" s="6"/>
      <c r="C375" s="6"/>
      <c r="D375" t="s">
        <v>49</v>
      </c>
      <c r="E375" s="9" t="s">
        <v>539</v>
      </c>
      <c r="F375" s="14" t="s">
        <v>537</v>
      </c>
      <c r="G375">
        <v>16</v>
      </c>
      <c r="H375" s="6"/>
      <c r="I375" s="1" t="str">
        <f t="shared" si="168"/>
        <v>10F</v>
      </c>
      <c r="J375" s="6" t="b">
        <f t="shared" si="169"/>
        <v>0</v>
      </c>
      <c r="K375" s="6"/>
      <c r="L375" s="6"/>
      <c r="M375" s="1" t="s">
        <v>525</v>
      </c>
      <c r="N375" s="6" t="b">
        <v>0</v>
      </c>
      <c r="O375" s="6"/>
      <c r="P375" s="6"/>
      <c r="Q375" s="1" t="b">
        <f t="shared" si="166"/>
        <v>1</v>
      </c>
      <c r="R375" s="6" t="b">
        <f t="shared" si="167"/>
        <v>1</v>
      </c>
      <c r="S375" s="6"/>
    </row>
    <row r="376" spans="2:19" x14ac:dyDescent="0.15">
      <c r="B376" s="6"/>
      <c r="C376" s="2" t="s">
        <v>227</v>
      </c>
      <c r="D376" s="2" t="s">
        <v>46</v>
      </c>
      <c r="E376" s="11" t="s">
        <v>517</v>
      </c>
      <c r="F376" s="13" t="s">
        <v>517</v>
      </c>
      <c r="G376" s="2">
        <v>2</v>
      </c>
      <c r="H376" s="2"/>
      <c r="I376" s="3" t="str">
        <f t="shared" si="168"/>
        <v>00</v>
      </c>
      <c r="J376" s="2" t="b">
        <f t="shared" si="169"/>
        <v>0</v>
      </c>
      <c r="K376" s="2"/>
      <c r="L376" s="2"/>
      <c r="M376" s="3" t="s">
        <v>97</v>
      </c>
      <c r="N376" s="2" t="b">
        <v>0</v>
      </c>
      <c r="O376" s="2"/>
      <c r="P376" s="2"/>
      <c r="Q376" s="3" t="b">
        <f t="shared" si="166"/>
        <v>1</v>
      </c>
      <c r="R376" s="2" t="b">
        <f t="shared" si="167"/>
        <v>1</v>
      </c>
      <c r="S376" s="6"/>
    </row>
    <row r="377" spans="2:19" x14ac:dyDescent="0.15">
      <c r="B377" s="6"/>
      <c r="C377" s="6"/>
      <c r="D377" s="6" t="s">
        <v>47</v>
      </c>
      <c r="E377" s="9" t="s">
        <v>524</v>
      </c>
      <c r="F377" s="14" t="s">
        <v>524</v>
      </c>
      <c r="G377" s="6">
        <v>10</v>
      </c>
      <c r="H377" s="6"/>
      <c r="I377" s="1" t="str">
        <f t="shared" si="168"/>
        <v>00</v>
      </c>
      <c r="J377" s="6" t="b">
        <f t="shared" si="169"/>
        <v>0</v>
      </c>
      <c r="K377" s="6"/>
      <c r="L377" s="6"/>
      <c r="M377" s="1" t="s">
        <v>97</v>
      </c>
      <c r="N377" s="6" t="b">
        <v>0</v>
      </c>
      <c r="O377" s="6"/>
      <c r="P377" s="6"/>
      <c r="Q377" s="1" t="b">
        <f t="shared" si="166"/>
        <v>1</v>
      </c>
      <c r="R377" s="6" t="b">
        <f t="shared" si="167"/>
        <v>1</v>
      </c>
      <c r="S377" s="6"/>
    </row>
    <row r="378" spans="2:19" x14ac:dyDescent="0.15">
      <c r="B378" s="6"/>
      <c r="C378" s="6"/>
      <c r="D378" t="s">
        <v>49</v>
      </c>
      <c r="E378" s="9" t="s">
        <v>536</v>
      </c>
      <c r="F378" s="14" t="s">
        <v>536</v>
      </c>
      <c r="G378">
        <v>16</v>
      </c>
      <c r="H378" s="6"/>
      <c r="I378" s="1" t="str">
        <f t="shared" si="168"/>
        <v>00</v>
      </c>
      <c r="J378" s="6" t="b">
        <f t="shared" si="169"/>
        <v>0</v>
      </c>
      <c r="K378" s="6"/>
      <c r="L378" s="6"/>
      <c r="M378" s="1" t="s">
        <v>97</v>
      </c>
      <c r="N378" s="6" t="b">
        <v>0</v>
      </c>
      <c r="O378" s="6"/>
      <c r="P378" s="6"/>
      <c r="Q378" s="1" t="b">
        <f t="shared" si="166"/>
        <v>1</v>
      </c>
      <c r="R378" s="6" t="b">
        <f t="shared" si="167"/>
        <v>1</v>
      </c>
      <c r="S378" s="6"/>
    </row>
    <row r="379" spans="2:19" x14ac:dyDescent="0.15">
      <c r="B379" s="6"/>
      <c r="C379" s="2" t="s">
        <v>228</v>
      </c>
      <c r="D379" s="2" t="s">
        <v>46</v>
      </c>
      <c r="E379" s="11" t="s">
        <v>518</v>
      </c>
      <c r="F379" s="13" t="s">
        <v>517</v>
      </c>
      <c r="G379" s="2">
        <v>2</v>
      </c>
      <c r="H379" s="2"/>
      <c r="I379" s="3" t="str">
        <f t="shared" si="168"/>
        <v>011</v>
      </c>
      <c r="J379" s="2" t="b">
        <f t="shared" si="169"/>
        <v>0</v>
      </c>
      <c r="K379" s="2"/>
      <c r="L379" s="2"/>
      <c r="M379" s="3" t="s">
        <v>77</v>
      </c>
      <c r="N379" s="2" t="b">
        <v>0</v>
      </c>
      <c r="O379" s="2"/>
      <c r="P379" s="2"/>
      <c r="Q379" s="3" t="b">
        <f t="shared" si="166"/>
        <v>1</v>
      </c>
      <c r="R379" s="2" t="b">
        <f t="shared" si="167"/>
        <v>1</v>
      </c>
      <c r="S379" s="6"/>
    </row>
    <row r="380" spans="2:19" x14ac:dyDescent="0.15">
      <c r="B380" s="6"/>
      <c r="C380" s="6"/>
      <c r="D380" s="6" t="s">
        <v>47</v>
      </c>
      <c r="E380" s="9" t="s">
        <v>538</v>
      </c>
      <c r="F380" s="14" t="s">
        <v>524</v>
      </c>
      <c r="G380" s="6">
        <v>10</v>
      </c>
      <c r="H380" s="6"/>
      <c r="I380" s="1" t="str">
        <f t="shared" si="168"/>
        <v>099</v>
      </c>
      <c r="J380" s="6" t="b">
        <f t="shared" si="169"/>
        <v>0</v>
      </c>
      <c r="K380" s="6"/>
      <c r="L380" s="6"/>
      <c r="M380" s="1" t="s">
        <v>139</v>
      </c>
      <c r="N380" s="6" t="b">
        <v>0</v>
      </c>
      <c r="O380" s="6"/>
      <c r="P380" s="6"/>
      <c r="Q380" s="1" t="b">
        <f t="shared" si="166"/>
        <v>1</v>
      </c>
      <c r="R380" s="6" t="b">
        <f t="shared" si="167"/>
        <v>1</v>
      </c>
      <c r="S380" s="6"/>
    </row>
    <row r="381" spans="2:19" x14ac:dyDescent="0.15">
      <c r="B381" s="6"/>
      <c r="C381" s="6"/>
      <c r="D381" t="s">
        <v>49</v>
      </c>
      <c r="E381" s="9" t="s">
        <v>539</v>
      </c>
      <c r="F381" s="14" t="s">
        <v>536</v>
      </c>
      <c r="G381">
        <v>16</v>
      </c>
      <c r="H381" s="6"/>
      <c r="I381" s="1" t="str">
        <f t="shared" si="168"/>
        <v>0FF</v>
      </c>
      <c r="J381" s="6" t="b">
        <f t="shared" si="169"/>
        <v>0</v>
      </c>
      <c r="K381" s="6"/>
      <c r="L381" s="6"/>
      <c r="M381" s="1" t="s">
        <v>141</v>
      </c>
      <c r="N381" s="6" t="b">
        <v>0</v>
      </c>
      <c r="O381" s="6"/>
      <c r="P381" s="6"/>
      <c r="Q381" s="1" t="b">
        <f t="shared" si="166"/>
        <v>1</v>
      </c>
      <c r="R381" s="6" t="b">
        <f t="shared" si="167"/>
        <v>1</v>
      </c>
      <c r="S381" s="6"/>
    </row>
    <row r="382" spans="2:19" x14ac:dyDescent="0.15">
      <c r="B382" s="2" t="s">
        <v>545</v>
      </c>
      <c r="C382" s="2"/>
      <c r="D382" s="2" t="s">
        <v>46</v>
      </c>
      <c r="E382" s="11" t="s">
        <v>546</v>
      </c>
      <c r="F382" s="13" t="s">
        <v>547</v>
      </c>
      <c r="G382" s="2">
        <v>2</v>
      </c>
      <c r="H382" s="2"/>
      <c r="I382" s="3" t="str">
        <f t="shared" ref="I382:I384" si="170">TESTsubtract(E382,F382,G382)</f>
        <v>1</v>
      </c>
      <c r="J382" s="2" t="b">
        <f t="shared" ref="J382:J384" si="171">TESTsubtractByRef1(E382,F382,G382)</f>
        <v>1</v>
      </c>
      <c r="K382" s="2"/>
      <c r="L382" s="2"/>
      <c r="M382" s="3" t="s">
        <v>44</v>
      </c>
      <c r="N382" s="2" t="b">
        <v>1</v>
      </c>
      <c r="O382" s="2"/>
      <c r="P382" s="2"/>
      <c r="Q382" s="3" t="b">
        <f t="shared" ref="Q382:Q384" si="172">getText(I382)=getText(M382)</f>
        <v>1</v>
      </c>
      <c r="R382" s="2" t="b">
        <f t="shared" ref="R382:R384" si="173">getText(J382)=getText(N382)</f>
        <v>1</v>
      </c>
      <c r="S382" s="6"/>
    </row>
    <row r="383" spans="2:19" x14ac:dyDescent="0.15">
      <c r="B383" s="6"/>
      <c r="C383" s="6"/>
      <c r="D383" s="6" t="s">
        <v>47</v>
      </c>
      <c r="E383" s="9" t="s">
        <v>548</v>
      </c>
      <c r="F383" s="14" t="s">
        <v>549</v>
      </c>
      <c r="G383" s="6">
        <v>10</v>
      </c>
      <c r="H383" s="6"/>
      <c r="I383" s="1" t="str">
        <f t="shared" si="170"/>
        <v>1</v>
      </c>
      <c r="J383" s="6" t="b">
        <f t="shared" si="171"/>
        <v>1</v>
      </c>
      <c r="K383" s="6"/>
      <c r="L383" s="6"/>
      <c r="M383" s="1" t="s">
        <v>44</v>
      </c>
      <c r="N383" s="6" t="b">
        <v>1</v>
      </c>
      <c r="O383" s="6"/>
      <c r="P383" s="6"/>
      <c r="Q383" s="1" t="b">
        <f t="shared" si="172"/>
        <v>1</v>
      </c>
      <c r="R383" s="6" t="b">
        <f t="shared" si="173"/>
        <v>1</v>
      </c>
      <c r="S383" s="6"/>
    </row>
    <row r="384" spans="2:19" x14ac:dyDescent="0.15">
      <c r="B384" s="6"/>
      <c r="C384" s="6"/>
      <c r="D384" t="s">
        <v>49</v>
      </c>
      <c r="E384" s="9" t="s">
        <v>550</v>
      </c>
      <c r="F384" s="14" t="s">
        <v>551</v>
      </c>
      <c r="G384">
        <v>16</v>
      </c>
      <c r="H384" s="6"/>
      <c r="I384" s="1" t="str">
        <f t="shared" si="170"/>
        <v>1</v>
      </c>
      <c r="J384" s="6" t="b">
        <f t="shared" si="171"/>
        <v>1</v>
      </c>
      <c r="K384" s="6"/>
      <c r="L384" s="6"/>
      <c r="M384" s="1" t="s">
        <v>44</v>
      </c>
      <c r="N384" s="6" t="b">
        <v>1</v>
      </c>
      <c r="O384" s="6"/>
      <c r="P384" s="6"/>
      <c r="Q384" s="36" t="b">
        <f t="shared" si="172"/>
        <v>1</v>
      </c>
      <c r="R384" s="35" t="b">
        <f t="shared" si="173"/>
        <v>1</v>
      </c>
      <c r="S384" s="6"/>
    </row>
    <row r="385" spans="1:19" x14ac:dyDescent="0.15">
      <c r="A385" s="2" t="s">
        <v>370</v>
      </c>
      <c r="B385" s="2" t="s">
        <v>202</v>
      </c>
      <c r="C385" s="22">
        <v>0</v>
      </c>
      <c r="D385" s="2" t="s">
        <v>46</v>
      </c>
      <c r="E385" s="11" t="s">
        <v>375</v>
      </c>
      <c r="F385" s="13" t="s">
        <v>372</v>
      </c>
      <c r="G385" s="2">
        <v>2</v>
      </c>
      <c r="H385" s="2"/>
      <c r="I385" s="3" t="str">
        <f>TESTmultiple(E385,F385,G385)</f>
        <v>00</v>
      </c>
      <c r="J385" s="2"/>
      <c r="K385" s="2"/>
      <c r="L385" s="2"/>
      <c r="M385" s="3" t="s">
        <v>97</v>
      </c>
      <c r="N385" s="2"/>
      <c r="O385" s="2"/>
      <c r="P385" s="2"/>
      <c r="Q385" s="3" t="b">
        <f t="shared" ref="Q385:Q387" si="174">getText(I385)=getText(M385)</f>
        <v>1</v>
      </c>
      <c r="R385" s="2"/>
      <c r="S385" s="6"/>
    </row>
    <row r="386" spans="1:19" x14ac:dyDescent="0.15">
      <c r="C386" s="27"/>
      <c r="D386" s="6" t="s">
        <v>47</v>
      </c>
      <c r="E386" s="9" t="s">
        <v>374</v>
      </c>
      <c r="F386" s="14" t="s">
        <v>376</v>
      </c>
      <c r="G386" s="6">
        <v>10</v>
      </c>
      <c r="H386" s="6"/>
      <c r="I386" s="1" t="str">
        <f t="shared" ref="I386:I387" si="175">TESTmultiple(E386,F386,G386)</f>
        <v>00</v>
      </c>
      <c r="J386" s="6"/>
      <c r="K386" s="6"/>
      <c r="L386" s="6"/>
      <c r="M386" s="1" t="s">
        <v>97</v>
      </c>
      <c r="N386" s="6"/>
      <c r="O386" s="6"/>
      <c r="P386" s="6"/>
      <c r="Q386" s="1" t="b">
        <f t="shared" si="174"/>
        <v>1</v>
      </c>
      <c r="R386" s="6"/>
      <c r="S386" s="6"/>
    </row>
    <row r="387" spans="1:19" x14ac:dyDescent="0.15">
      <c r="C387" s="27"/>
      <c r="D387" s="6" t="s">
        <v>49</v>
      </c>
      <c r="E387" s="9" t="s">
        <v>374</v>
      </c>
      <c r="F387" s="14" t="s">
        <v>376</v>
      </c>
      <c r="G387" s="6">
        <v>16</v>
      </c>
      <c r="H387" s="6"/>
      <c r="I387" s="1" t="str">
        <f t="shared" si="175"/>
        <v>00</v>
      </c>
      <c r="J387" s="6"/>
      <c r="K387" s="6"/>
      <c r="L387" s="6"/>
      <c r="M387" s="1" t="s">
        <v>97</v>
      </c>
      <c r="N387" s="6"/>
      <c r="O387" s="6"/>
      <c r="P387" s="6"/>
      <c r="Q387" s="1" t="b">
        <f t="shared" si="174"/>
        <v>1</v>
      </c>
      <c r="R387" s="6"/>
      <c r="S387" s="6"/>
    </row>
    <row r="388" spans="1:19" x14ac:dyDescent="0.15">
      <c r="C388" s="22">
        <v>1</v>
      </c>
      <c r="D388" s="2" t="s">
        <v>46</v>
      </c>
      <c r="E388" s="11" t="s">
        <v>374</v>
      </c>
      <c r="F388" s="13" t="s">
        <v>377</v>
      </c>
      <c r="G388" s="2">
        <v>2</v>
      </c>
      <c r="H388" s="2"/>
      <c r="I388" s="3" t="str">
        <f t="shared" ref="I388:I390" si="176">TESTmultiple(E388,F388,G388)</f>
        <v>11</v>
      </c>
      <c r="J388" s="2"/>
      <c r="K388" s="2"/>
      <c r="L388" s="2"/>
      <c r="M388" s="3" t="s">
        <v>18</v>
      </c>
      <c r="N388" s="2"/>
      <c r="O388" s="2"/>
      <c r="P388" s="2"/>
      <c r="Q388" s="3" t="b">
        <f t="shared" ref="Q388:Q390" si="177">getText(I388)=getText(M388)</f>
        <v>1</v>
      </c>
      <c r="R388" s="6"/>
      <c r="S388" s="6"/>
    </row>
    <row r="389" spans="1:19" x14ac:dyDescent="0.15">
      <c r="C389" s="27"/>
      <c r="D389" s="6" t="s">
        <v>47</v>
      </c>
      <c r="E389" s="9" t="s">
        <v>374</v>
      </c>
      <c r="F389" s="14" t="s">
        <v>377</v>
      </c>
      <c r="G389" s="6">
        <v>10</v>
      </c>
      <c r="H389" s="6"/>
      <c r="I389" s="1" t="str">
        <f t="shared" si="176"/>
        <v>11</v>
      </c>
      <c r="J389" s="6"/>
      <c r="K389" s="6"/>
      <c r="L389" s="6"/>
      <c r="M389" s="1" t="s">
        <v>18</v>
      </c>
      <c r="N389" s="6"/>
      <c r="O389" s="6"/>
      <c r="P389" s="6"/>
      <c r="Q389" s="1" t="b">
        <f t="shared" si="177"/>
        <v>1</v>
      </c>
      <c r="R389" s="6"/>
      <c r="S389" s="6"/>
    </row>
    <row r="390" spans="1:19" x14ac:dyDescent="0.15">
      <c r="C390" s="27"/>
      <c r="D390" s="6" t="s">
        <v>49</v>
      </c>
      <c r="E390" s="9" t="s">
        <v>374</v>
      </c>
      <c r="F390" s="14" t="s">
        <v>377</v>
      </c>
      <c r="G390" s="6">
        <v>16</v>
      </c>
      <c r="H390" s="6"/>
      <c r="I390" s="1" t="str">
        <f t="shared" si="176"/>
        <v>11</v>
      </c>
      <c r="J390" s="6"/>
      <c r="K390" s="6"/>
      <c r="L390" s="6"/>
      <c r="M390" s="1" t="s">
        <v>18</v>
      </c>
      <c r="N390" s="6"/>
      <c r="O390" s="6"/>
      <c r="P390" s="6"/>
      <c r="Q390" s="1" t="b">
        <f t="shared" si="177"/>
        <v>1</v>
      </c>
      <c r="R390" s="6"/>
      <c r="S390" s="6"/>
    </row>
    <row r="391" spans="1:19" x14ac:dyDescent="0.15">
      <c r="C391" s="22" t="s">
        <v>373</v>
      </c>
      <c r="D391" s="2" t="s">
        <v>287</v>
      </c>
      <c r="E391" s="11" t="s">
        <v>374</v>
      </c>
      <c r="F391" s="13" t="s">
        <v>387</v>
      </c>
      <c r="G391" s="2">
        <v>3</v>
      </c>
      <c r="H391" s="2"/>
      <c r="I391" s="3" t="str">
        <f t="shared" ref="I391:I393" si="178">TESTmultiple(E391,F391,G391)</f>
        <v>22</v>
      </c>
      <c r="J391" s="2"/>
      <c r="K391" s="2"/>
      <c r="L391" s="2"/>
      <c r="M391" s="3" t="s">
        <v>385</v>
      </c>
      <c r="N391" s="2"/>
      <c r="O391" s="2"/>
      <c r="P391" s="2"/>
      <c r="Q391" s="3" t="b">
        <f t="shared" ref="Q391:Q396" si="179">getText(I391)=getText(M391)</f>
        <v>1</v>
      </c>
      <c r="R391" s="6"/>
      <c r="S391" s="6"/>
    </row>
    <row r="392" spans="1:19" x14ac:dyDescent="0.15">
      <c r="C392" s="6"/>
      <c r="D392" s="6" t="s">
        <v>47</v>
      </c>
      <c r="E392" s="9" t="s">
        <v>374</v>
      </c>
      <c r="F392" s="14" t="s">
        <v>378</v>
      </c>
      <c r="G392" s="6">
        <v>10</v>
      </c>
      <c r="H392" s="6"/>
      <c r="I392" s="1" t="str">
        <f t="shared" si="178"/>
        <v>99</v>
      </c>
      <c r="J392" s="6"/>
      <c r="K392" s="6"/>
      <c r="L392" s="6"/>
      <c r="M392" s="1" t="s">
        <v>211</v>
      </c>
      <c r="N392" s="6"/>
      <c r="O392" s="6"/>
      <c r="P392" s="6"/>
      <c r="Q392" s="1" t="b">
        <f t="shared" si="179"/>
        <v>1</v>
      </c>
      <c r="R392" s="6"/>
      <c r="S392" s="6"/>
    </row>
    <row r="393" spans="1:19" x14ac:dyDescent="0.15">
      <c r="C393" s="6"/>
      <c r="D393" s="6" t="s">
        <v>49</v>
      </c>
      <c r="E393" s="9" t="s">
        <v>374</v>
      </c>
      <c r="F393" s="14" t="s">
        <v>379</v>
      </c>
      <c r="G393" s="6">
        <v>16</v>
      </c>
      <c r="H393" s="6"/>
      <c r="I393" s="1" t="str">
        <f t="shared" si="178"/>
        <v>FF</v>
      </c>
      <c r="J393" s="6"/>
      <c r="K393" s="6"/>
      <c r="L393" s="6"/>
      <c r="M393" s="1" t="s">
        <v>22</v>
      </c>
      <c r="N393" s="6"/>
      <c r="O393" s="6"/>
      <c r="P393" s="6"/>
      <c r="Q393" s="1" t="b">
        <f t="shared" si="179"/>
        <v>1</v>
      </c>
      <c r="R393" s="6"/>
      <c r="S393" s="6"/>
    </row>
    <row r="394" spans="1:19" x14ac:dyDescent="0.15">
      <c r="B394" s="2" t="s">
        <v>207</v>
      </c>
      <c r="C394" s="22">
        <v>10</v>
      </c>
      <c r="D394" s="2" t="s">
        <v>46</v>
      </c>
      <c r="E394" s="11" t="s">
        <v>375</v>
      </c>
      <c r="F394" s="13" t="s">
        <v>380</v>
      </c>
      <c r="G394" s="2">
        <v>2</v>
      </c>
      <c r="H394" s="2"/>
      <c r="I394" s="3" t="str">
        <f>TESTmultiple(E394,F394,G394)</f>
        <v>110</v>
      </c>
      <c r="J394" s="2"/>
      <c r="K394" s="2"/>
      <c r="L394" s="2"/>
      <c r="M394" s="3" t="s">
        <v>274</v>
      </c>
      <c r="N394" s="2"/>
      <c r="O394" s="2"/>
      <c r="P394" s="2"/>
      <c r="Q394" s="3" t="b">
        <f t="shared" si="179"/>
        <v>1</v>
      </c>
      <c r="R394" s="6"/>
      <c r="S394" s="6"/>
    </row>
    <row r="395" spans="1:19" x14ac:dyDescent="0.15">
      <c r="C395" s="27"/>
      <c r="D395" s="6" t="s">
        <v>47</v>
      </c>
      <c r="E395" s="9" t="s">
        <v>374</v>
      </c>
      <c r="F395" s="14" t="s">
        <v>380</v>
      </c>
      <c r="G395" s="6">
        <v>10</v>
      </c>
      <c r="H395" s="6"/>
      <c r="I395" s="1" t="str">
        <f t="shared" ref="I395:I396" si="180">TESTmultiple(E395,F395,G395)</f>
        <v>110</v>
      </c>
      <c r="J395" s="6"/>
      <c r="K395" s="6"/>
      <c r="L395" s="6"/>
      <c r="M395" s="1" t="s">
        <v>274</v>
      </c>
      <c r="N395" s="6"/>
      <c r="O395" s="6"/>
      <c r="P395" s="6"/>
      <c r="Q395" s="1" t="b">
        <f t="shared" si="179"/>
        <v>1</v>
      </c>
      <c r="R395" s="6"/>
      <c r="S395" s="6"/>
    </row>
    <row r="396" spans="1:19" x14ac:dyDescent="0.15">
      <c r="C396" s="27"/>
      <c r="D396" s="6" t="s">
        <v>49</v>
      </c>
      <c r="E396" s="9" t="s">
        <v>374</v>
      </c>
      <c r="F396" s="14" t="s">
        <v>380</v>
      </c>
      <c r="G396" s="6">
        <v>16</v>
      </c>
      <c r="H396" s="6"/>
      <c r="I396" s="1" t="str">
        <f t="shared" si="180"/>
        <v>110</v>
      </c>
      <c r="J396" s="6"/>
      <c r="K396" s="6"/>
      <c r="L396" s="6"/>
      <c r="M396" s="1" t="s">
        <v>274</v>
      </c>
      <c r="N396" s="6"/>
      <c r="O396" s="6"/>
      <c r="P396" s="6"/>
      <c r="Q396" s="1" t="b">
        <f t="shared" si="179"/>
        <v>1</v>
      </c>
      <c r="R396" s="6"/>
      <c r="S396" s="6"/>
    </row>
    <row r="397" spans="1:19" x14ac:dyDescent="0.15">
      <c r="C397" s="22">
        <v>11</v>
      </c>
      <c r="D397" s="2" t="s">
        <v>46</v>
      </c>
      <c r="E397" s="11" t="s">
        <v>374</v>
      </c>
      <c r="F397" s="13" t="s">
        <v>374</v>
      </c>
      <c r="G397" s="2">
        <v>2</v>
      </c>
      <c r="H397" s="2"/>
      <c r="I397" s="3" t="str">
        <f t="shared" ref="I397:I399" si="181">TESTmultiple(E397,F397,G397)</f>
        <v>1001</v>
      </c>
      <c r="J397" s="2"/>
      <c r="K397" s="2"/>
      <c r="L397" s="2"/>
      <c r="M397" s="3" t="s">
        <v>384</v>
      </c>
      <c r="N397" s="2"/>
      <c r="O397" s="2"/>
      <c r="P397" s="2"/>
      <c r="Q397" s="3" t="b">
        <f t="shared" ref="Q397:Q399" si="182">getText(I397)=getText(M397)</f>
        <v>1</v>
      </c>
      <c r="R397" s="6"/>
      <c r="S397" s="6"/>
    </row>
    <row r="398" spans="1:19" x14ac:dyDescent="0.15">
      <c r="C398" s="6"/>
      <c r="D398" s="6" t="s">
        <v>47</v>
      </c>
      <c r="E398" s="9" t="s">
        <v>374</v>
      </c>
      <c r="F398" s="14" t="s">
        <v>374</v>
      </c>
      <c r="G398" s="6">
        <v>10</v>
      </c>
      <c r="H398" s="6"/>
      <c r="I398" s="1" t="str">
        <f t="shared" si="181"/>
        <v>121</v>
      </c>
      <c r="J398" s="6"/>
      <c r="K398" s="6"/>
      <c r="L398" s="6"/>
      <c r="M398" s="1" t="s">
        <v>302</v>
      </c>
      <c r="N398" s="6"/>
      <c r="O398" s="6"/>
      <c r="P398" s="6"/>
      <c r="Q398" s="1" t="b">
        <f t="shared" si="182"/>
        <v>1</v>
      </c>
      <c r="R398" s="6"/>
      <c r="S398" s="6"/>
    </row>
    <row r="399" spans="1:19" x14ac:dyDescent="0.15">
      <c r="C399" s="6"/>
      <c r="D399" s="6" t="s">
        <v>49</v>
      </c>
      <c r="E399" s="9" t="s">
        <v>374</v>
      </c>
      <c r="F399" s="14" t="s">
        <v>374</v>
      </c>
      <c r="G399" s="6">
        <v>16</v>
      </c>
      <c r="H399" s="6"/>
      <c r="I399" s="1" t="str">
        <f t="shared" si="181"/>
        <v>121</v>
      </c>
      <c r="J399" s="6"/>
      <c r="K399" s="6"/>
      <c r="L399" s="6"/>
      <c r="M399" s="1" t="s">
        <v>302</v>
      </c>
      <c r="N399" s="6"/>
      <c r="O399" s="6"/>
      <c r="P399" s="6"/>
      <c r="Q399" s="1" t="b">
        <f t="shared" si="182"/>
        <v>1</v>
      </c>
      <c r="R399" s="6"/>
      <c r="S399" s="6"/>
    </row>
    <row r="400" spans="1:19" x14ac:dyDescent="0.15">
      <c r="C400" s="22" t="s">
        <v>381</v>
      </c>
      <c r="D400" s="2" t="s">
        <v>287</v>
      </c>
      <c r="E400" s="11" t="s">
        <v>374</v>
      </c>
      <c r="F400" s="13" t="s">
        <v>386</v>
      </c>
      <c r="G400" s="2">
        <v>3</v>
      </c>
      <c r="H400" s="2"/>
      <c r="I400" s="3" t="str">
        <f t="shared" ref="I400:I402" si="183">TESTmultiple(E400,F400,G400)</f>
        <v>1012</v>
      </c>
      <c r="J400" s="2"/>
      <c r="K400" s="2"/>
      <c r="L400" s="2"/>
      <c r="M400" s="3" t="s">
        <v>388</v>
      </c>
      <c r="N400" s="2"/>
      <c r="O400" s="2"/>
      <c r="P400" s="2"/>
      <c r="Q400" s="3" t="b">
        <f t="shared" ref="Q400:Q402" si="184">getText(I400)=getText(M400)</f>
        <v>1</v>
      </c>
      <c r="R400" s="6"/>
      <c r="S400" s="6"/>
    </row>
    <row r="401" spans="2:19" x14ac:dyDescent="0.15">
      <c r="C401" s="6"/>
      <c r="D401" s="6" t="s">
        <v>47</v>
      </c>
      <c r="E401" s="9" t="s">
        <v>374</v>
      </c>
      <c r="F401" s="14" t="s">
        <v>382</v>
      </c>
      <c r="G401" s="6">
        <v>10</v>
      </c>
      <c r="H401" s="6"/>
      <c r="I401" s="1" t="str">
        <f t="shared" si="183"/>
        <v>1089</v>
      </c>
      <c r="J401" s="6"/>
      <c r="K401" s="6"/>
      <c r="L401" s="6"/>
      <c r="M401" s="1" t="s">
        <v>389</v>
      </c>
      <c r="N401" s="6"/>
      <c r="O401" s="6"/>
      <c r="P401" s="6"/>
      <c r="Q401" s="1" t="b">
        <f t="shared" si="184"/>
        <v>1</v>
      </c>
      <c r="R401" s="6"/>
      <c r="S401" s="6"/>
    </row>
    <row r="402" spans="2:19" x14ac:dyDescent="0.15">
      <c r="C402" s="6"/>
      <c r="D402" s="6" t="s">
        <v>49</v>
      </c>
      <c r="E402" s="9" t="s">
        <v>374</v>
      </c>
      <c r="F402" s="14" t="s">
        <v>383</v>
      </c>
      <c r="G402" s="6">
        <v>16</v>
      </c>
      <c r="H402" s="6"/>
      <c r="I402" s="1" t="str">
        <f t="shared" si="183"/>
        <v>10EF</v>
      </c>
      <c r="J402" s="6"/>
      <c r="K402" s="6"/>
      <c r="L402" s="6"/>
      <c r="M402" s="1" t="s">
        <v>390</v>
      </c>
      <c r="N402" s="6"/>
      <c r="O402" s="6"/>
      <c r="P402" s="6"/>
      <c r="Q402" s="1" t="b">
        <f t="shared" si="184"/>
        <v>1</v>
      </c>
      <c r="R402" s="6"/>
      <c r="S402" s="6"/>
    </row>
    <row r="403" spans="2:19" x14ac:dyDescent="0.15">
      <c r="C403" s="2" t="s">
        <v>404</v>
      </c>
      <c r="D403" s="2" t="s">
        <v>287</v>
      </c>
      <c r="E403" s="11" t="s">
        <v>392</v>
      </c>
      <c r="F403" s="13" t="s">
        <v>393</v>
      </c>
      <c r="G403" s="2">
        <v>3</v>
      </c>
      <c r="H403" s="2"/>
      <c r="I403" s="3" t="str">
        <f t="shared" ref="I403" si="185">TESTmultiple(E403,F403,G403)</f>
        <v>1010</v>
      </c>
      <c r="J403" s="2"/>
      <c r="K403" s="2"/>
      <c r="L403" s="2"/>
      <c r="M403" s="3" t="s">
        <v>371</v>
      </c>
      <c r="N403" s="2"/>
      <c r="O403" s="2"/>
      <c r="P403" s="2"/>
      <c r="Q403" s="3" t="b">
        <f t="shared" ref="Q403:Q404" si="186">getText(I403)=getText(M403)</f>
        <v>1</v>
      </c>
      <c r="R403" s="6"/>
      <c r="S403" s="6"/>
    </row>
    <row r="404" spans="2:19" x14ac:dyDescent="0.15">
      <c r="C404" s="6" t="s">
        <v>391</v>
      </c>
      <c r="D404" s="6" t="s">
        <v>47</v>
      </c>
      <c r="E404" s="9" t="s">
        <v>392</v>
      </c>
      <c r="F404" s="14" t="s">
        <v>394</v>
      </c>
      <c r="G404" s="6">
        <v>10</v>
      </c>
      <c r="H404" s="6"/>
      <c r="I404" s="1" t="str">
        <f t="shared" ref="I404:I405" si="187">TESTmultiple(E404,F404,G404)</f>
        <v>300</v>
      </c>
      <c r="J404" s="6"/>
      <c r="K404" s="6"/>
      <c r="L404" s="6"/>
      <c r="M404" s="1" t="s">
        <v>395</v>
      </c>
      <c r="N404" s="6"/>
      <c r="O404" s="6"/>
      <c r="P404" s="6"/>
      <c r="Q404" s="1" t="b">
        <f t="shared" si="186"/>
        <v>1</v>
      </c>
      <c r="R404" s="6"/>
      <c r="S404" s="6"/>
    </row>
    <row r="405" spans="2:19" x14ac:dyDescent="0.15">
      <c r="C405" s="6"/>
      <c r="D405" s="6" t="s">
        <v>49</v>
      </c>
      <c r="E405" s="9" t="s">
        <v>392</v>
      </c>
      <c r="F405" s="14" t="s">
        <v>396</v>
      </c>
      <c r="G405" s="6">
        <v>16</v>
      </c>
      <c r="H405" s="6"/>
      <c r="I405" s="1" t="str">
        <f t="shared" si="187"/>
        <v>300</v>
      </c>
      <c r="J405" s="6"/>
      <c r="K405" s="6"/>
      <c r="L405" s="6"/>
      <c r="M405" s="1" t="s">
        <v>395</v>
      </c>
      <c r="N405" s="6"/>
      <c r="O405" s="6"/>
      <c r="P405" s="6"/>
      <c r="Q405" s="1" t="b">
        <f t="shared" ref="Q405:Q419" si="188">getText(I405)=getText(M405)</f>
        <v>1</v>
      </c>
      <c r="R405" s="6"/>
      <c r="S405" s="6"/>
    </row>
    <row r="406" spans="2:19" x14ac:dyDescent="0.15">
      <c r="C406" s="2" t="s">
        <v>405</v>
      </c>
      <c r="D406" s="2" t="s">
        <v>287</v>
      </c>
      <c r="E406" s="11" t="s">
        <v>392</v>
      </c>
      <c r="F406" s="13" t="s">
        <v>398</v>
      </c>
      <c r="G406" s="2">
        <v>3</v>
      </c>
      <c r="H406" s="2"/>
      <c r="I406" s="3" t="str">
        <f t="shared" ref="I406:I407" si="189">TESTmultiple(E406,F406,G406)</f>
        <v>1120</v>
      </c>
      <c r="J406" s="2"/>
      <c r="K406" s="2"/>
      <c r="L406" s="2"/>
      <c r="M406" s="3" t="s">
        <v>399</v>
      </c>
      <c r="N406" s="2"/>
      <c r="O406" s="2"/>
      <c r="P406" s="2"/>
      <c r="Q406" s="3" t="b">
        <f t="shared" si="188"/>
        <v>1</v>
      </c>
      <c r="R406" s="6"/>
      <c r="S406" s="6"/>
    </row>
    <row r="407" spans="2:19" x14ac:dyDescent="0.15">
      <c r="C407" s="6" t="s">
        <v>397</v>
      </c>
      <c r="D407" s="6" t="s">
        <v>47</v>
      </c>
      <c r="E407" s="9" t="s">
        <v>392</v>
      </c>
      <c r="F407" s="14" t="s">
        <v>400</v>
      </c>
      <c r="G407" s="6">
        <v>10</v>
      </c>
      <c r="H407" s="6"/>
      <c r="I407" s="1" t="str">
        <f t="shared" si="189"/>
        <v>1020</v>
      </c>
      <c r="J407" s="6"/>
      <c r="K407" s="6"/>
      <c r="L407" s="6"/>
      <c r="M407" s="1" t="s">
        <v>402</v>
      </c>
      <c r="N407" s="6"/>
      <c r="O407" s="6"/>
      <c r="P407" s="6"/>
      <c r="Q407" s="1" t="b">
        <f t="shared" si="188"/>
        <v>1</v>
      </c>
      <c r="R407" s="6"/>
      <c r="S407" s="6"/>
    </row>
    <row r="408" spans="2:19" x14ac:dyDescent="0.15">
      <c r="C408" s="6"/>
      <c r="D408" s="6" t="s">
        <v>49</v>
      </c>
      <c r="E408" s="9" t="s">
        <v>392</v>
      </c>
      <c r="F408" s="14" t="s">
        <v>401</v>
      </c>
      <c r="G408" s="6">
        <v>16</v>
      </c>
      <c r="H408" s="6"/>
      <c r="I408" s="1" t="str">
        <f t="shared" ref="I408" si="190">TESTmultiple(E408,F408,G408)</f>
        <v>1020</v>
      </c>
      <c r="J408" s="6"/>
      <c r="K408" s="6"/>
      <c r="L408" s="6"/>
      <c r="M408" s="1" t="s">
        <v>402</v>
      </c>
      <c r="N408" s="6"/>
      <c r="O408" s="6"/>
      <c r="P408" s="6"/>
      <c r="Q408" s="1" t="b">
        <f t="shared" si="188"/>
        <v>1</v>
      </c>
      <c r="R408" s="6"/>
      <c r="S408" s="6"/>
    </row>
    <row r="409" spans="2:19" x14ac:dyDescent="0.15">
      <c r="C409" s="2" t="s">
        <v>404</v>
      </c>
      <c r="D409" s="2" t="s">
        <v>287</v>
      </c>
      <c r="E409" s="11" t="s">
        <v>386</v>
      </c>
      <c r="F409" s="13" t="s">
        <v>406</v>
      </c>
      <c r="G409" s="2">
        <v>3</v>
      </c>
      <c r="H409" s="2"/>
      <c r="I409" s="3" t="str">
        <f t="shared" ref="I409" si="191">TESTmultiple(E409,F409,G409)</f>
        <v>2101</v>
      </c>
      <c r="J409" s="2"/>
      <c r="K409" s="2"/>
      <c r="L409" s="2"/>
      <c r="M409" s="3" t="s">
        <v>407</v>
      </c>
      <c r="N409" s="2"/>
      <c r="O409" s="2"/>
      <c r="P409" s="2"/>
      <c r="Q409" s="3" t="b">
        <f t="shared" si="188"/>
        <v>1</v>
      </c>
      <c r="R409" s="6"/>
      <c r="S409" s="6"/>
    </row>
    <row r="410" spans="2:19" x14ac:dyDescent="0.15">
      <c r="C410" s="6" t="s">
        <v>403</v>
      </c>
      <c r="D410" s="6" t="s">
        <v>47</v>
      </c>
      <c r="E410" s="9" t="s">
        <v>406</v>
      </c>
      <c r="F410" s="14" t="s">
        <v>408</v>
      </c>
      <c r="G410" s="6">
        <v>10</v>
      </c>
      <c r="H410" s="6"/>
      <c r="I410" s="1" t="str">
        <f t="shared" ref="I410" si="192">TESTmultiple(E410,F410,G410)</f>
        <v>1210</v>
      </c>
      <c r="J410" s="6"/>
      <c r="K410" s="6"/>
      <c r="L410" s="6"/>
      <c r="M410" s="1" t="s">
        <v>409</v>
      </c>
      <c r="N410" s="6"/>
      <c r="O410" s="6"/>
      <c r="P410" s="6"/>
      <c r="Q410" s="1" t="b">
        <f t="shared" si="188"/>
        <v>1</v>
      </c>
      <c r="R410" s="6"/>
      <c r="S410" s="6"/>
    </row>
    <row r="411" spans="2:19" x14ac:dyDescent="0.15">
      <c r="C411" s="6"/>
      <c r="D411" s="6" t="s">
        <v>49</v>
      </c>
      <c r="E411" s="9" t="s">
        <v>406</v>
      </c>
      <c r="F411" s="14" t="s">
        <v>410</v>
      </c>
      <c r="G411" s="6">
        <v>16</v>
      </c>
      <c r="H411" s="6"/>
      <c r="I411" s="1" t="str">
        <f t="shared" ref="I411" si="193">TESTmultiple(E411,F411,G411)</f>
        <v>1210</v>
      </c>
      <c r="J411" s="6"/>
      <c r="K411" s="6"/>
      <c r="L411" s="6"/>
      <c r="M411" s="1" t="s">
        <v>409</v>
      </c>
      <c r="N411" s="6"/>
      <c r="O411" s="6"/>
      <c r="P411" s="6"/>
      <c r="Q411" s="1" t="b">
        <f t="shared" si="188"/>
        <v>1</v>
      </c>
      <c r="R411" s="6"/>
      <c r="S411" s="6"/>
    </row>
    <row r="412" spans="2:19" x14ac:dyDescent="0.15">
      <c r="B412" s="2" t="s">
        <v>411</v>
      </c>
      <c r="C412" s="24" t="s">
        <v>418</v>
      </c>
      <c r="D412" s="2" t="s">
        <v>287</v>
      </c>
      <c r="E412" s="11" t="s">
        <v>386</v>
      </c>
      <c r="F412" s="13" t="s">
        <v>419</v>
      </c>
      <c r="G412" s="2">
        <v>3</v>
      </c>
      <c r="H412" s="2"/>
      <c r="I412" s="3" t="str">
        <f t="shared" ref="I412:I414" si="194">TESTmultiple(E412,F412,G412)</f>
        <v>12100</v>
      </c>
      <c r="J412" s="2"/>
      <c r="K412" s="2"/>
      <c r="L412" s="2"/>
      <c r="M412" s="3" t="s">
        <v>422</v>
      </c>
      <c r="N412" s="2"/>
      <c r="O412" s="2"/>
      <c r="P412" s="2"/>
      <c r="Q412" s="3" t="b">
        <f t="shared" si="188"/>
        <v>1</v>
      </c>
      <c r="R412" s="6"/>
      <c r="S412" s="6"/>
    </row>
    <row r="413" spans="2:19" x14ac:dyDescent="0.15">
      <c r="C413" s="6"/>
      <c r="D413" s="6" t="s">
        <v>47</v>
      </c>
      <c r="E413" s="9" t="s">
        <v>386</v>
      </c>
      <c r="F413" s="14" t="s">
        <v>420</v>
      </c>
      <c r="G413" s="6">
        <v>10</v>
      </c>
      <c r="H413" s="6"/>
      <c r="I413" s="1" t="str">
        <f t="shared" si="194"/>
        <v>11000</v>
      </c>
      <c r="J413" s="6"/>
      <c r="K413" s="6"/>
      <c r="L413" s="6"/>
      <c r="M413" s="1" t="s">
        <v>423</v>
      </c>
      <c r="N413" s="6"/>
      <c r="O413" s="6"/>
      <c r="P413" s="6"/>
      <c r="Q413" s="1" t="b">
        <f t="shared" si="188"/>
        <v>1</v>
      </c>
      <c r="R413" s="6"/>
      <c r="S413" s="6"/>
    </row>
    <row r="414" spans="2:19" x14ac:dyDescent="0.15">
      <c r="C414" s="6"/>
      <c r="D414" s="6" t="s">
        <v>49</v>
      </c>
      <c r="E414" s="9" t="s">
        <v>386</v>
      </c>
      <c r="F414" s="14" t="s">
        <v>421</v>
      </c>
      <c r="G414" s="6">
        <v>16</v>
      </c>
      <c r="H414" s="6"/>
      <c r="I414" s="1" t="str">
        <f t="shared" si="194"/>
        <v>11000</v>
      </c>
      <c r="J414" s="6"/>
      <c r="K414" s="6"/>
      <c r="L414" s="6"/>
      <c r="M414" s="1" t="s">
        <v>423</v>
      </c>
      <c r="N414" s="6"/>
      <c r="O414" s="6"/>
      <c r="P414" s="6"/>
      <c r="Q414" s="1" t="b">
        <f t="shared" si="188"/>
        <v>1</v>
      </c>
      <c r="R414" s="6"/>
      <c r="S414" s="6"/>
    </row>
    <row r="415" spans="2:19" x14ac:dyDescent="0.15">
      <c r="C415" s="24" t="s">
        <v>412</v>
      </c>
      <c r="D415" s="2" t="s">
        <v>287</v>
      </c>
      <c r="E415" s="11" t="s">
        <v>386</v>
      </c>
      <c r="F415" s="13" t="s">
        <v>413</v>
      </c>
      <c r="G415" s="2">
        <v>3</v>
      </c>
      <c r="H415" s="2"/>
      <c r="I415" s="3" t="str">
        <f t="shared" ref="I415:I417" si="195">TESTmultiple(E415,F415,G415)</f>
        <v>21201</v>
      </c>
      <c r="J415" s="2"/>
      <c r="K415" s="2"/>
      <c r="L415" s="2"/>
      <c r="M415" s="3" t="s">
        <v>416</v>
      </c>
      <c r="N415" s="2"/>
      <c r="O415" s="2"/>
      <c r="P415" s="2"/>
      <c r="Q415" s="3" t="b">
        <f t="shared" si="188"/>
        <v>1</v>
      </c>
      <c r="R415" s="6"/>
      <c r="S415" s="6"/>
    </row>
    <row r="416" spans="2:19" x14ac:dyDescent="0.15">
      <c r="C416" s="6"/>
      <c r="D416" s="6" t="s">
        <v>47</v>
      </c>
      <c r="E416" s="9" t="s">
        <v>386</v>
      </c>
      <c r="F416" s="14" t="s">
        <v>414</v>
      </c>
      <c r="G416" s="6">
        <v>10</v>
      </c>
      <c r="H416" s="6"/>
      <c r="I416" s="1" t="str">
        <f t="shared" si="195"/>
        <v>12210</v>
      </c>
      <c r="J416" s="6"/>
      <c r="K416" s="6"/>
      <c r="L416" s="6"/>
      <c r="M416" s="1" t="s">
        <v>417</v>
      </c>
      <c r="N416" s="6"/>
      <c r="O416" s="6"/>
      <c r="P416" s="6"/>
      <c r="Q416" s="1" t="b">
        <f t="shared" si="188"/>
        <v>1</v>
      </c>
      <c r="R416" s="6"/>
      <c r="S416" s="6"/>
    </row>
    <row r="417" spans="1:19" x14ac:dyDescent="0.15">
      <c r="C417" s="6"/>
      <c r="D417" s="6" t="s">
        <v>49</v>
      </c>
      <c r="E417" s="9" t="s">
        <v>386</v>
      </c>
      <c r="F417" s="14" t="s">
        <v>415</v>
      </c>
      <c r="G417" s="6">
        <v>16</v>
      </c>
      <c r="H417" s="6"/>
      <c r="I417" s="1" t="str">
        <f t="shared" si="195"/>
        <v>12210</v>
      </c>
      <c r="J417" s="6"/>
      <c r="K417" s="6"/>
      <c r="L417" s="6"/>
      <c r="M417" s="1" t="s">
        <v>417</v>
      </c>
      <c r="N417" s="6"/>
      <c r="O417" s="6"/>
      <c r="P417" s="6"/>
      <c r="Q417" s="1" t="b">
        <f t="shared" si="188"/>
        <v>1</v>
      </c>
      <c r="R417" s="6"/>
      <c r="S417" s="6"/>
    </row>
    <row r="418" spans="1:19" x14ac:dyDescent="0.15">
      <c r="A418" s="2" t="s">
        <v>277</v>
      </c>
      <c r="B418" s="2" t="s">
        <v>278</v>
      </c>
      <c r="C418" s="2"/>
      <c r="D418" s="2"/>
      <c r="E418" s="11" t="s">
        <v>283</v>
      </c>
      <c r="F418" s="13" t="s">
        <v>280</v>
      </c>
      <c r="G418" s="24">
        <v>2</v>
      </c>
      <c r="H418" s="2"/>
      <c r="I418" s="3" t="str">
        <f t="shared" ref="I418:I419" si="196">TESTmultipleByOneDigit(E418,F418,G418)</f>
        <v>00</v>
      </c>
      <c r="J418" s="24"/>
      <c r="K418" s="2"/>
      <c r="L418" s="2"/>
      <c r="M418" s="3" t="s">
        <v>97</v>
      </c>
      <c r="N418" s="2"/>
      <c r="O418" s="2"/>
      <c r="P418" s="2"/>
      <c r="Q418" s="3" t="b">
        <f t="shared" si="188"/>
        <v>1</v>
      </c>
      <c r="R418" s="6"/>
      <c r="S418" s="6"/>
    </row>
    <row r="419" spans="1:19" x14ac:dyDescent="0.15">
      <c r="B419" s="28" t="s">
        <v>279</v>
      </c>
      <c r="C419" s="28"/>
      <c r="D419" s="28"/>
      <c r="E419" s="29" t="s">
        <v>284</v>
      </c>
      <c r="F419" s="30" t="s">
        <v>281</v>
      </c>
      <c r="G419" s="31">
        <v>2</v>
      </c>
      <c r="H419" s="28"/>
      <c r="I419" s="32" t="str">
        <f t="shared" si="196"/>
        <v>101</v>
      </c>
      <c r="J419" s="28"/>
      <c r="K419" s="28"/>
      <c r="L419" s="28"/>
      <c r="M419" s="32" t="s">
        <v>263</v>
      </c>
      <c r="N419" s="28"/>
      <c r="O419" s="28"/>
      <c r="P419" s="28"/>
      <c r="Q419" s="32" t="b">
        <f t="shared" si="188"/>
        <v>1</v>
      </c>
      <c r="R419" s="6"/>
      <c r="S419" s="6"/>
    </row>
    <row r="420" spans="1:19" x14ac:dyDescent="0.15">
      <c r="B420" t="s">
        <v>285</v>
      </c>
      <c r="C420" s="6" t="s">
        <v>286</v>
      </c>
      <c r="D420" s="7" t="s">
        <v>287</v>
      </c>
      <c r="E420" s="9" t="s">
        <v>291</v>
      </c>
      <c r="F420" s="14" t="s">
        <v>293</v>
      </c>
      <c r="G420" s="7">
        <v>3</v>
      </c>
      <c r="H420" s="6"/>
      <c r="I420" s="1" t="str">
        <f t="shared" ref="I420" si="197">TESTmultipleByOneDigit(E420,F420,G420)</f>
        <v>11</v>
      </c>
      <c r="J420" s="6"/>
      <c r="K420" s="6"/>
      <c r="L420" s="6"/>
      <c r="M420" s="1" t="s">
        <v>18</v>
      </c>
      <c r="N420" s="6"/>
      <c r="O420" s="6"/>
      <c r="P420" s="6"/>
      <c r="Q420" s="1" t="b">
        <f t="shared" ref="Q420:Q422" si="198">getText(I420)=getText(M420)</f>
        <v>1</v>
      </c>
      <c r="R420" s="6"/>
      <c r="S420" s="6"/>
    </row>
    <row r="421" spans="1:19" x14ac:dyDescent="0.15">
      <c r="C421" s="6"/>
      <c r="D421" s="7" t="s">
        <v>288</v>
      </c>
      <c r="E421" s="9" t="s">
        <v>291</v>
      </c>
      <c r="F421" s="14" t="s">
        <v>294</v>
      </c>
      <c r="G421" s="7">
        <v>10</v>
      </c>
      <c r="H421" s="6"/>
      <c r="I421" s="1" t="str">
        <f t="shared" ref="I421:I423" si="199">TESTmultipleByOneDigit(E421,F421,G421)</f>
        <v>4</v>
      </c>
      <c r="J421" s="6"/>
      <c r="K421" s="6"/>
      <c r="L421" s="6"/>
      <c r="M421" s="1" t="s">
        <v>297</v>
      </c>
      <c r="N421" s="6"/>
      <c r="O421" s="6"/>
      <c r="P421" s="6"/>
      <c r="Q421" s="1" t="b">
        <f t="shared" si="198"/>
        <v>1</v>
      </c>
      <c r="R421" s="6"/>
      <c r="S421" s="6"/>
    </row>
    <row r="422" spans="1:19" x14ac:dyDescent="0.15">
      <c r="C422" s="6"/>
      <c r="D422" s="7" t="s">
        <v>289</v>
      </c>
      <c r="E422" s="9" t="s">
        <v>296</v>
      </c>
      <c r="F422" s="14" t="s">
        <v>295</v>
      </c>
      <c r="G422" s="7">
        <v>16</v>
      </c>
      <c r="H422" s="6"/>
      <c r="I422" s="1" t="str">
        <f t="shared" si="199"/>
        <v>A</v>
      </c>
      <c r="J422" s="6"/>
      <c r="K422" s="6"/>
      <c r="L422" s="6"/>
      <c r="M422" s="1" t="s">
        <v>298</v>
      </c>
      <c r="N422" s="6"/>
      <c r="O422" s="6"/>
      <c r="P422" s="6"/>
      <c r="Q422" s="1" t="b">
        <f t="shared" si="198"/>
        <v>1</v>
      </c>
      <c r="R422" s="6"/>
      <c r="S422" s="6"/>
    </row>
    <row r="423" spans="1:19" x14ac:dyDescent="0.15">
      <c r="C423" s="2" t="s">
        <v>301</v>
      </c>
      <c r="D423" s="24" t="s">
        <v>287</v>
      </c>
      <c r="E423" s="11" t="s">
        <v>299</v>
      </c>
      <c r="F423" s="13" t="s">
        <v>293</v>
      </c>
      <c r="G423" s="24">
        <v>3</v>
      </c>
      <c r="H423" s="2"/>
      <c r="I423" s="3" t="str">
        <f t="shared" si="199"/>
        <v>121</v>
      </c>
      <c r="J423" s="2"/>
      <c r="K423" s="2"/>
      <c r="L423" s="2"/>
      <c r="M423" s="3" t="s">
        <v>302</v>
      </c>
      <c r="N423" s="2"/>
      <c r="O423" s="2"/>
      <c r="P423" s="2"/>
      <c r="Q423" s="3" t="b">
        <f t="shared" ref="Q423:Q425" si="200">getText(I423)=getText(M423)</f>
        <v>1</v>
      </c>
      <c r="R423" s="6"/>
      <c r="S423" s="6"/>
    </row>
    <row r="424" spans="1:19" x14ac:dyDescent="0.15">
      <c r="C424" s="6"/>
      <c r="D424" s="7" t="s">
        <v>288</v>
      </c>
      <c r="E424" s="9" t="s">
        <v>299</v>
      </c>
      <c r="F424" s="14" t="s">
        <v>294</v>
      </c>
      <c r="G424" s="7">
        <v>10</v>
      </c>
      <c r="H424" s="6"/>
      <c r="I424" s="1" t="str">
        <f t="shared" ref="I424:I426" si="201">TESTmultipleByOneDigit(E424,F424,G424)</f>
        <v>44</v>
      </c>
      <c r="J424" s="6"/>
      <c r="K424" s="6"/>
      <c r="L424" s="6"/>
      <c r="M424" s="1" t="s">
        <v>303</v>
      </c>
      <c r="N424" s="6"/>
      <c r="O424" s="6"/>
      <c r="P424" s="6"/>
      <c r="Q424" s="1" t="b">
        <f t="shared" si="200"/>
        <v>1</v>
      </c>
      <c r="R424" s="6"/>
      <c r="S424" s="6"/>
    </row>
    <row r="425" spans="1:19" x14ac:dyDescent="0.15">
      <c r="C425" s="6"/>
      <c r="D425" s="7" t="s">
        <v>289</v>
      </c>
      <c r="E425" s="9" t="s">
        <v>300</v>
      </c>
      <c r="F425" s="14" t="s">
        <v>295</v>
      </c>
      <c r="G425" s="7">
        <v>16</v>
      </c>
      <c r="H425" s="6"/>
      <c r="I425" s="1" t="str">
        <f t="shared" si="201"/>
        <v>AA</v>
      </c>
      <c r="J425" s="6"/>
      <c r="K425" s="6"/>
      <c r="L425" s="6"/>
      <c r="M425" s="1" t="s">
        <v>304</v>
      </c>
      <c r="N425" s="6"/>
      <c r="O425" s="6"/>
      <c r="P425" s="6"/>
      <c r="Q425" s="1" t="b">
        <f t="shared" si="200"/>
        <v>1</v>
      </c>
      <c r="R425" s="6"/>
      <c r="S425" s="6"/>
    </row>
    <row r="426" spans="1:19" x14ac:dyDescent="0.15">
      <c r="C426" s="2" t="s">
        <v>305</v>
      </c>
      <c r="D426" s="24" t="s">
        <v>287</v>
      </c>
      <c r="E426" s="11" t="s">
        <v>306</v>
      </c>
      <c r="F426" s="13" t="s">
        <v>293</v>
      </c>
      <c r="G426" s="24">
        <v>3</v>
      </c>
      <c r="H426" s="2"/>
      <c r="I426" s="3" t="str">
        <f t="shared" si="201"/>
        <v>1221</v>
      </c>
      <c r="J426" s="2"/>
      <c r="K426" s="2"/>
      <c r="L426" s="2"/>
      <c r="M426" s="3" t="s">
        <v>308</v>
      </c>
      <c r="N426" s="2"/>
      <c r="O426" s="2"/>
      <c r="P426" s="2"/>
      <c r="Q426" s="3" t="b">
        <f t="shared" ref="Q426:Q428" si="202">getText(I426)=getText(M426)</f>
        <v>1</v>
      </c>
      <c r="R426" s="6"/>
      <c r="S426" s="6"/>
    </row>
    <row r="427" spans="1:19" x14ac:dyDescent="0.15">
      <c r="C427" s="6"/>
      <c r="D427" s="7" t="s">
        <v>288</v>
      </c>
      <c r="E427" s="9" t="s">
        <v>306</v>
      </c>
      <c r="F427" s="14" t="s">
        <v>294</v>
      </c>
      <c r="G427" s="7">
        <v>10</v>
      </c>
      <c r="H427" s="6"/>
      <c r="I427" s="1" t="str">
        <f t="shared" ref="I427:I428" si="203">TESTmultipleByOneDigit(E427,F427,G427)</f>
        <v>444</v>
      </c>
      <c r="J427" s="6"/>
      <c r="K427" s="6"/>
      <c r="L427" s="6"/>
      <c r="M427" s="1" t="s">
        <v>309</v>
      </c>
      <c r="N427" s="6"/>
      <c r="O427" s="6"/>
      <c r="P427" s="6"/>
      <c r="Q427" s="1" t="b">
        <f t="shared" si="202"/>
        <v>1</v>
      </c>
      <c r="R427" s="6"/>
      <c r="S427" s="6"/>
    </row>
    <row r="428" spans="1:19" x14ac:dyDescent="0.15">
      <c r="C428" s="6"/>
      <c r="D428" s="7" t="s">
        <v>289</v>
      </c>
      <c r="E428" s="9" t="s">
        <v>307</v>
      </c>
      <c r="F428" s="14" t="s">
        <v>295</v>
      </c>
      <c r="G428" s="7">
        <v>16</v>
      </c>
      <c r="H428" s="6"/>
      <c r="I428" s="1" t="str">
        <f t="shared" si="203"/>
        <v>AAA</v>
      </c>
      <c r="J428" s="6"/>
      <c r="K428" s="6"/>
      <c r="L428" s="6"/>
      <c r="M428" s="1" t="s">
        <v>310</v>
      </c>
      <c r="N428" s="6"/>
      <c r="O428" s="6"/>
      <c r="P428" s="6"/>
      <c r="Q428" s="1" t="b">
        <f t="shared" si="202"/>
        <v>1</v>
      </c>
      <c r="R428" s="6"/>
      <c r="S428" s="6"/>
    </row>
    <row r="429" spans="1:19" x14ac:dyDescent="0.15">
      <c r="B429" s="2" t="s">
        <v>312</v>
      </c>
      <c r="C429" s="2" t="s">
        <v>311</v>
      </c>
      <c r="D429" s="24" t="s">
        <v>287</v>
      </c>
      <c r="E429" s="11" t="s">
        <v>313</v>
      </c>
      <c r="F429" s="13" t="s">
        <v>313</v>
      </c>
      <c r="G429" s="24">
        <v>3</v>
      </c>
      <c r="H429" s="2"/>
      <c r="I429" s="3" t="str">
        <f t="shared" ref="I429:I431" si="204">TESTmultipleByOneDigit(E429,F429,G429)</f>
        <v>0</v>
      </c>
      <c r="J429" s="2"/>
      <c r="K429" s="2"/>
      <c r="L429" s="2"/>
      <c r="M429" s="3" t="s">
        <v>14</v>
      </c>
      <c r="N429" s="2"/>
      <c r="O429" s="2"/>
      <c r="P429" s="2"/>
      <c r="Q429" s="3" t="b">
        <f t="shared" ref="Q429:Q431" si="205">getText(I429)=getText(M429)</f>
        <v>1</v>
      </c>
      <c r="R429" s="6"/>
      <c r="S429" s="6"/>
    </row>
    <row r="430" spans="1:19" x14ac:dyDescent="0.15">
      <c r="B430" t="s">
        <v>316</v>
      </c>
      <c r="C430" s="6"/>
      <c r="D430" s="7" t="s">
        <v>288</v>
      </c>
      <c r="E430" s="9" t="s">
        <v>314</v>
      </c>
      <c r="F430" s="14" t="s">
        <v>314</v>
      </c>
      <c r="G430" s="7">
        <v>10</v>
      </c>
      <c r="H430" s="6"/>
      <c r="I430" s="1" t="str">
        <f t="shared" si="204"/>
        <v>0</v>
      </c>
      <c r="J430" s="6"/>
      <c r="K430" s="6"/>
      <c r="L430" s="6"/>
      <c r="M430" s="1" t="s">
        <v>14</v>
      </c>
      <c r="N430" s="6"/>
      <c r="O430" s="6"/>
      <c r="P430" s="6"/>
      <c r="Q430" s="1" t="b">
        <f t="shared" si="205"/>
        <v>1</v>
      </c>
      <c r="R430" s="6"/>
      <c r="S430" s="6"/>
    </row>
    <row r="431" spans="1:19" x14ac:dyDescent="0.15">
      <c r="B431" t="s">
        <v>317</v>
      </c>
      <c r="C431" s="6"/>
      <c r="D431" s="7" t="s">
        <v>289</v>
      </c>
      <c r="E431" s="9" t="s">
        <v>314</v>
      </c>
      <c r="F431" s="14" t="s">
        <v>314</v>
      </c>
      <c r="G431" s="7">
        <v>16</v>
      </c>
      <c r="H431" s="6"/>
      <c r="I431" s="1" t="str">
        <f t="shared" si="204"/>
        <v>0</v>
      </c>
      <c r="J431" s="6"/>
      <c r="K431" s="6"/>
      <c r="L431" s="6"/>
      <c r="M431" s="1" t="s">
        <v>14</v>
      </c>
      <c r="N431" s="6"/>
      <c r="O431" s="6"/>
      <c r="P431" s="6"/>
      <c r="Q431" s="1" t="b">
        <f t="shared" si="205"/>
        <v>1</v>
      </c>
      <c r="R431" s="6"/>
      <c r="S431" s="6"/>
    </row>
    <row r="432" spans="1:19" x14ac:dyDescent="0.15">
      <c r="C432" s="2" t="s">
        <v>315</v>
      </c>
      <c r="D432" s="24" t="s">
        <v>287</v>
      </c>
      <c r="E432" s="11" t="s">
        <v>318</v>
      </c>
      <c r="F432" s="13" t="s">
        <v>319</v>
      </c>
      <c r="G432" s="24">
        <v>3</v>
      </c>
      <c r="H432" s="2"/>
      <c r="I432" s="3" t="str">
        <f t="shared" ref="I432:I434" si="206">TESTmultipleByOneDigit(E432,F432,G432)</f>
        <v>0</v>
      </c>
      <c r="J432" s="2"/>
      <c r="K432" s="2"/>
      <c r="L432" s="2"/>
      <c r="M432" s="3" t="s">
        <v>14</v>
      </c>
      <c r="N432" s="2"/>
      <c r="O432" s="2"/>
      <c r="P432" s="2"/>
      <c r="Q432" s="3" t="b">
        <f t="shared" ref="Q432:Q434" si="207">getText(I432)=getText(M432)</f>
        <v>1</v>
      </c>
      <c r="R432" s="6"/>
      <c r="S432" s="6"/>
    </row>
    <row r="433" spans="3:19" x14ac:dyDescent="0.15">
      <c r="C433" s="6"/>
      <c r="D433" s="7" t="s">
        <v>288</v>
      </c>
      <c r="E433" s="9" t="s">
        <v>318</v>
      </c>
      <c r="F433" s="14" t="s">
        <v>320</v>
      </c>
      <c r="G433" s="7">
        <v>10</v>
      </c>
      <c r="H433" s="6"/>
      <c r="I433" s="1" t="str">
        <f t="shared" si="206"/>
        <v>0</v>
      </c>
      <c r="J433" s="6"/>
      <c r="K433" s="6"/>
      <c r="L433" s="6"/>
      <c r="M433" s="1" t="s">
        <v>14</v>
      </c>
      <c r="N433" s="6"/>
      <c r="O433" s="6"/>
      <c r="P433" s="6"/>
      <c r="Q433" s="1" t="b">
        <f t="shared" si="207"/>
        <v>1</v>
      </c>
      <c r="R433" s="6"/>
      <c r="S433" s="6"/>
    </row>
    <row r="434" spans="3:19" x14ac:dyDescent="0.15">
      <c r="C434" s="6"/>
      <c r="D434" s="7" t="s">
        <v>289</v>
      </c>
      <c r="E434" s="9" t="s">
        <v>318</v>
      </c>
      <c r="F434" s="14" t="s">
        <v>321</v>
      </c>
      <c r="G434" s="7">
        <v>16</v>
      </c>
      <c r="H434" s="6"/>
      <c r="I434" s="1" t="str">
        <f t="shared" si="206"/>
        <v>0</v>
      </c>
      <c r="J434" s="6"/>
      <c r="K434" s="6"/>
      <c r="L434" s="6"/>
      <c r="M434" s="1" t="s">
        <v>14</v>
      </c>
      <c r="N434" s="6"/>
      <c r="O434" s="6"/>
      <c r="P434" s="6"/>
      <c r="Q434" s="1" t="b">
        <f t="shared" si="207"/>
        <v>1</v>
      </c>
      <c r="R434" s="6"/>
      <c r="S434" s="6"/>
    </row>
    <row r="435" spans="3:19" x14ac:dyDescent="0.15">
      <c r="C435" s="2" t="s">
        <v>322</v>
      </c>
      <c r="D435" s="24" t="s">
        <v>287</v>
      </c>
      <c r="E435" s="11" t="s">
        <v>323</v>
      </c>
      <c r="F435" s="13" t="s">
        <v>313</v>
      </c>
      <c r="G435" s="24">
        <v>3</v>
      </c>
      <c r="H435" s="2"/>
      <c r="I435" s="3" t="str">
        <f t="shared" ref="I435:I438" si="208">TESTmultipleByOneDigit(E435,F435,G435)</f>
        <v>0</v>
      </c>
      <c r="J435" s="2"/>
      <c r="K435" s="2"/>
      <c r="L435" s="2"/>
      <c r="M435" s="3" t="s">
        <v>14</v>
      </c>
      <c r="N435" s="2"/>
      <c r="O435" s="2"/>
      <c r="P435" s="2"/>
      <c r="Q435" s="3" t="b">
        <f t="shared" ref="Q435:Q437" si="209">getText(I435)=getText(M435)</f>
        <v>1</v>
      </c>
      <c r="R435" s="6"/>
      <c r="S435" s="6"/>
    </row>
    <row r="436" spans="3:19" x14ac:dyDescent="0.15">
      <c r="C436" s="6"/>
      <c r="D436" s="7" t="s">
        <v>288</v>
      </c>
      <c r="E436" s="9" t="s">
        <v>324</v>
      </c>
      <c r="F436" s="14" t="s">
        <v>313</v>
      </c>
      <c r="G436" s="7">
        <v>10</v>
      </c>
      <c r="H436" s="6"/>
      <c r="I436" s="1" t="str">
        <f t="shared" si="208"/>
        <v>0</v>
      </c>
      <c r="J436" s="6"/>
      <c r="K436" s="6"/>
      <c r="L436" s="6"/>
      <c r="M436" s="1" t="s">
        <v>14</v>
      </c>
      <c r="N436" s="6"/>
      <c r="O436" s="6"/>
      <c r="P436" s="6"/>
      <c r="Q436" s="1" t="b">
        <f t="shared" si="209"/>
        <v>1</v>
      </c>
      <c r="R436" s="6"/>
      <c r="S436" s="6"/>
    </row>
    <row r="437" spans="3:19" x14ac:dyDescent="0.15">
      <c r="C437" s="6"/>
      <c r="D437" s="7" t="s">
        <v>289</v>
      </c>
      <c r="E437" s="9" t="s">
        <v>325</v>
      </c>
      <c r="F437" s="14" t="s">
        <v>318</v>
      </c>
      <c r="G437" s="7">
        <v>16</v>
      </c>
      <c r="H437" s="6"/>
      <c r="I437" s="1" t="str">
        <f t="shared" si="208"/>
        <v>0</v>
      </c>
      <c r="J437" s="6"/>
      <c r="K437" s="6"/>
      <c r="L437" s="6"/>
      <c r="M437" s="1" t="s">
        <v>14</v>
      </c>
      <c r="N437" s="6"/>
      <c r="O437" s="6"/>
      <c r="P437" s="6"/>
      <c r="Q437" s="1" t="b">
        <f t="shared" si="209"/>
        <v>1</v>
      </c>
      <c r="R437" s="6"/>
      <c r="S437" s="6"/>
    </row>
    <row r="438" spans="3:19" x14ac:dyDescent="0.15">
      <c r="C438" s="2" t="s">
        <v>326</v>
      </c>
      <c r="D438" s="33" t="s">
        <v>571</v>
      </c>
      <c r="E438" s="11" t="s">
        <v>365</v>
      </c>
      <c r="F438" s="13" t="s">
        <v>366</v>
      </c>
      <c r="G438" s="24">
        <v>3</v>
      </c>
      <c r="H438" s="2"/>
      <c r="I438" s="3" t="str">
        <f t="shared" si="208"/>
        <v>2</v>
      </c>
      <c r="J438" s="2"/>
      <c r="K438" s="2"/>
      <c r="L438" s="2"/>
      <c r="M438" s="3" t="s">
        <v>290</v>
      </c>
      <c r="N438" s="2"/>
      <c r="O438" s="2"/>
      <c r="P438" s="2"/>
      <c r="Q438" s="3" t="b">
        <f t="shared" ref="Q438:Q444" si="210">getText(I438)=getText(M438)</f>
        <v>1</v>
      </c>
      <c r="R438" s="6"/>
      <c r="S438" s="6"/>
    </row>
    <row r="439" spans="3:19" x14ac:dyDescent="0.15">
      <c r="C439" s="6"/>
      <c r="D439" s="7" t="s">
        <v>572</v>
      </c>
      <c r="E439" s="9" t="s">
        <v>290</v>
      </c>
      <c r="F439" s="14" t="s">
        <v>290</v>
      </c>
      <c r="G439" s="7">
        <v>3</v>
      </c>
      <c r="H439" s="6"/>
      <c r="I439" s="1" t="str">
        <f t="shared" ref="I439" si="211">TESTmultipleByOneDigit(E439,F439,G439)</f>
        <v>11</v>
      </c>
      <c r="J439" s="6"/>
      <c r="K439" s="6"/>
      <c r="L439" s="6"/>
      <c r="M439" s="1" t="s">
        <v>18</v>
      </c>
      <c r="N439" s="6"/>
      <c r="O439" s="6"/>
      <c r="P439" s="6"/>
      <c r="Q439" s="1" t="b">
        <f t="shared" si="210"/>
        <v>1</v>
      </c>
      <c r="R439" s="6"/>
      <c r="S439" s="6"/>
    </row>
    <row r="440" spans="3:19" x14ac:dyDescent="0.15">
      <c r="C440" s="6"/>
      <c r="D440" s="7" t="s">
        <v>573</v>
      </c>
      <c r="E440" s="9" t="s">
        <v>367</v>
      </c>
      <c r="F440" s="14" t="s">
        <v>367</v>
      </c>
      <c r="G440" s="7">
        <v>10</v>
      </c>
      <c r="H440" s="6"/>
      <c r="I440" s="1" t="str">
        <f t="shared" ref="I440" si="212">TESTmultipleByOneDigit(E440,F440,G440)</f>
        <v>9</v>
      </c>
      <c r="J440" s="6"/>
      <c r="K440" s="6"/>
      <c r="L440" s="6"/>
      <c r="M440" s="1" t="s">
        <v>100</v>
      </c>
      <c r="N440" s="6"/>
      <c r="O440" s="6"/>
      <c r="P440" s="6"/>
      <c r="Q440" s="1" t="b">
        <f t="shared" si="210"/>
        <v>1</v>
      </c>
      <c r="R440" s="6"/>
      <c r="S440" s="6"/>
    </row>
    <row r="441" spans="3:19" x14ac:dyDescent="0.15">
      <c r="C441" s="6"/>
      <c r="D441" s="7" t="s">
        <v>574</v>
      </c>
      <c r="E441" s="9" t="s">
        <v>329</v>
      </c>
      <c r="F441" s="14" t="s">
        <v>330</v>
      </c>
      <c r="G441" s="7">
        <v>10</v>
      </c>
      <c r="H441" s="6"/>
      <c r="I441" s="1" t="str">
        <f t="shared" ref="I441" si="213">TESTmultipleByOneDigit(E441,F441,G441)</f>
        <v>10</v>
      </c>
      <c r="J441" s="6"/>
      <c r="K441" s="6"/>
      <c r="L441" s="6"/>
      <c r="M441" s="1" t="s">
        <v>15</v>
      </c>
      <c r="N441" s="6"/>
      <c r="O441" s="6"/>
      <c r="P441" s="6"/>
      <c r="Q441" s="1" t="b">
        <f t="shared" si="210"/>
        <v>1</v>
      </c>
      <c r="R441" s="6"/>
      <c r="S441" s="6"/>
    </row>
    <row r="442" spans="3:19" x14ac:dyDescent="0.15">
      <c r="C442" s="6"/>
      <c r="D442" s="7" t="s">
        <v>575</v>
      </c>
      <c r="E442" s="9" t="s">
        <v>324</v>
      </c>
      <c r="F442" s="14" t="s">
        <v>100</v>
      </c>
      <c r="G442" s="7">
        <v>10</v>
      </c>
      <c r="H442" s="6"/>
      <c r="I442" s="1" t="str">
        <f t="shared" ref="I442" si="214">TESTmultipleByOneDigit(E442,F442,G442)</f>
        <v>81</v>
      </c>
      <c r="J442" s="6"/>
      <c r="K442" s="6"/>
      <c r="L442" s="6"/>
      <c r="M442" s="1" t="s">
        <v>328</v>
      </c>
      <c r="N442" s="6"/>
      <c r="O442" s="6"/>
      <c r="P442" s="6"/>
      <c r="Q442" s="1" t="b">
        <f t="shared" si="210"/>
        <v>1</v>
      </c>
      <c r="R442" s="6"/>
      <c r="S442" s="6"/>
    </row>
    <row r="443" spans="3:19" x14ac:dyDescent="0.15">
      <c r="C443" s="6"/>
      <c r="D443" s="7" t="s">
        <v>576</v>
      </c>
      <c r="E443" s="9" t="s">
        <v>368</v>
      </c>
      <c r="F443" s="14" t="s">
        <v>369</v>
      </c>
      <c r="G443" s="7">
        <v>16</v>
      </c>
      <c r="H443" s="6"/>
      <c r="I443" s="1" t="str">
        <f t="shared" ref="I443" si="215">TESTmultipleByOneDigit(E443,F443,G443)</f>
        <v>F</v>
      </c>
      <c r="J443" s="6"/>
      <c r="K443" s="6"/>
      <c r="L443" s="6"/>
      <c r="M443" s="1" t="s">
        <v>98</v>
      </c>
      <c r="N443" s="6"/>
      <c r="O443" s="6"/>
      <c r="P443" s="6"/>
      <c r="Q443" s="1" t="b">
        <f t="shared" si="210"/>
        <v>1</v>
      </c>
      <c r="R443" s="6"/>
      <c r="S443" s="6"/>
    </row>
    <row r="444" spans="3:19" x14ac:dyDescent="0.15">
      <c r="C444" s="6"/>
      <c r="D444" s="7" t="s">
        <v>577</v>
      </c>
      <c r="E444" s="9" t="s">
        <v>331</v>
      </c>
      <c r="F444" s="14" t="s">
        <v>293</v>
      </c>
      <c r="G444" s="7">
        <v>16</v>
      </c>
      <c r="H444" s="6"/>
      <c r="I444" s="1" t="str">
        <f t="shared" ref="I444" si="216">TESTmultipleByOneDigit(E444,F444,G444)</f>
        <v>10</v>
      </c>
      <c r="J444" s="6"/>
      <c r="K444" s="6"/>
      <c r="L444" s="6"/>
      <c r="M444" s="1" t="s">
        <v>15</v>
      </c>
      <c r="N444" s="6"/>
      <c r="O444" s="6"/>
      <c r="P444" s="6"/>
      <c r="Q444" s="1" t="b">
        <f t="shared" si="210"/>
        <v>1</v>
      </c>
      <c r="R444" s="6"/>
      <c r="S444" s="6"/>
    </row>
    <row r="445" spans="3:19" x14ac:dyDescent="0.15">
      <c r="C445" s="6"/>
      <c r="D445" s="7" t="s">
        <v>578</v>
      </c>
      <c r="E445" s="9" t="s">
        <v>325</v>
      </c>
      <c r="F445" s="14" t="s">
        <v>98</v>
      </c>
      <c r="G445" s="7">
        <v>16</v>
      </c>
      <c r="H445" s="6"/>
      <c r="I445" s="1" t="str">
        <f>TESTmultipleByOneDigit(E445,F445,G445)</f>
        <v>E1</v>
      </c>
      <c r="J445" s="6"/>
      <c r="K445" s="6"/>
      <c r="L445" s="6"/>
      <c r="M445" s="1" t="s">
        <v>327</v>
      </c>
      <c r="N445" s="6"/>
      <c r="O445" s="6"/>
      <c r="P445" s="6"/>
      <c r="Q445" s="1" t="b">
        <f t="shared" ref="Q445" si="217">getText(I445)=getText(M445)</f>
        <v>1</v>
      </c>
      <c r="R445" s="6"/>
      <c r="S445" s="6"/>
    </row>
    <row r="446" spans="3:19" x14ac:dyDescent="0.15">
      <c r="C446" s="2" t="s">
        <v>332</v>
      </c>
      <c r="D446" s="24" t="s">
        <v>287</v>
      </c>
      <c r="E446" s="11" t="s">
        <v>341</v>
      </c>
      <c r="F446" s="13" t="s">
        <v>340</v>
      </c>
      <c r="G446" s="24">
        <v>3</v>
      </c>
      <c r="H446" s="2"/>
      <c r="I446" s="3" t="str">
        <f>TESTmultipleByOneDigit(E446,F446,G446)</f>
        <v>00</v>
      </c>
      <c r="J446" s="2"/>
      <c r="K446" s="2"/>
      <c r="L446" s="2"/>
      <c r="M446" s="3" t="s">
        <v>97</v>
      </c>
      <c r="N446" s="2"/>
      <c r="O446" s="2"/>
      <c r="P446" s="2"/>
      <c r="Q446" s="3" t="b">
        <f t="shared" ref="Q446:Q448" si="218">getText(I446)=getText(M446)</f>
        <v>1</v>
      </c>
      <c r="R446" s="6"/>
      <c r="S446" s="6"/>
    </row>
    <row r="447" spans="3:19" x14ac:dyDescent="0.15">
      <c r="C447" s="6"/>
      <c r="D447" s="7" t="s">
        <v>288</v>
      </c>
      <c r="E447" s="9" t="s">
        <v>97</v>
      </c>
      <c r="F447" s="14" t="s">
        <v>14</v>
      </c>
      <c r="G447" s="7">
        <v>10</v>
      </c>
      <c r="H447" s="6"/>
      <c r="I447" s="1" t="str">
        <f t="shared" ref="I447:I448" si="219">TESTmultipleByOneDigit(E447,F447,G447)</f>
        <v>00</v>
      </c>
      <c r="J447" s="6"/>
      <c r="K447" s="6"/>
      <c r="L447" s="6"/>
      <c r="M447" s="1" t="s">
        <v>97</v>
      </c>
      <c r="N447" s="6"/>
      <c r="O447" s="6"/>
      <c r="P447" s="6"/>
      <c r="Q447" s="1" t="b">
        <f t="shared" si="218"/>
        <v>1</v>
      </c>
      <c r="R447" s="6"/>
      <c r="S447" s="6"/>
    </row>
    <row r="448" spans="3:19" x14ac:dyDescent="0.15">
      <c r="C448" s="6"/>
      <c r="D448" s="7" t="s">
        <v>289</v>
      </c>
      <c r="E448" s="9" t="s">
        <v>97</v>
      </c>
      <c r="F448" s="14" t="s">
        <v>14</v>
      </c>
      <c r="G448" s="7">
        <v>16</v>
      </c>
      <c r="H448" s="6"/>
      <c r="I448" s="1" t="str">
        <f t="shared" si="219"/>
        <v>00</v>
      </c>
      <c r="J448" s="6"/>
      <c r="K448" s="6"/>
      <c r="L448" s="6"/>
      <c r="M448" s="1" t="s">
        <v>97</v>
      </c>
      <c r="N448" s="6"/>
      <c r="O448" s="6"/>
      <c r="P448" s="6"/>
      <c r="Q448" s="1" t="b">
        <f t="shared" si="218"/>
        <v>1</v>
      </c>
      <c r="R448" s="6"/>
      <c r="S448" s="6"/>
    </row>
    <row r="449" spans="2:19" x14ac:dyDescent="0.15">
      <c r="B449" s="4" t="s">
        <v>355</v>
      </c>
      <c r="C449" s="2" t="s">
        <v>333</v>
      </c>
      <c r="D449" s="24" t="s">
        <v>287</v>
      </c>
      <c r="E449" s="11" t="s">
        <v>343</v>
      </c>
      <c r="F449" s="13" t="s">
        <v>344</v>
      </c>
      <c r="G449" s="24">
        <v>3</v>
      </c>
      <c r="H449" s="2"/>
      <c r="I449" s="3"/>
      <c r="J449" s="2"/>
      <c r="K449" s="2"/>
      <c r="L449" s="2"/>
      <c r="M449" s="3"/>
      <c r="N449" s="2"/>
      <c r="O449" s="2"/>
      <c r="P449" s="2"/>
      <c r="Q449" s="3"/>
      <c r="R449" s="6"/>
      <c r="S449" s="6"/>
    </row>
    <row r="450" spans="2:19" x14ac:dyDescent="0.15">
      <c r="C450" s="6"/>
      <c r="D450" s="7" t="s">
        <v>288</v>
      </c>
      <c r="E450" s="9" t="s">
        <v>342</v>
      </c>
      <c r="F450" s="14" t="s">
        <v>342</v>
      </c>
      <c r="G450" s="7">
        <v>10</v>
      </c>
      <c r="H450" s="6"/>
      <c r="J450" s="6"/>
      <c r="K450" s="6"/>
      <c r="L450" s="6"/>
      <c r="N450" s="6"/>
      <c r="O450" s="6"/>
      <c r="P450" s="6"/>
      <c r="R450" s="6"/>
      <c r="S450" s="6"/>
    </row>
    <row r="451" spans="2:19" x14ac:dyDescent="0.15">
      <c r="C451" s="6"/>
      <c r="D451" s="7" t="s">
        <v>289</v>
      </c>
      <c r="E451" s="9" t="s">
        <v>342</v>
      </c>
      <c r="F451" s="14" t="s">
        <v>342</v>
      </c>
      <c r="G451" s="7">
        <v>16</v>
      </c>
      <c r="H451" s="6"/>
      <c r="J451" s="6"/>
      <c r="K451" s="6"/>
      <c r="L451" s="6"/>
      <c r="N451" s="6"/>
      <c r="O451" s="6"/>
      <c r="P451" s="6"/>
      <c r="R451" s="6"/>
      <c r="S451" s="6"/>
    </row>
    <row r="452" spans="2:19" x14ac:dyDescent="0.15">
      <c r="C452" s="2" t="s">
        <v>334</v>
      </c>
      <c r="D452" s="24" t="s">
        <v>287</v>
      </c>
      <c r="E452" s="11" t="s">
        <v>341</v>
      </c>
      <c r="F452" s="13" t="s">
        <v>345</v>
      </c>
      <c r="G452" s="24">
        <v>3</v>
      </c>
      <c r="H452" s="2"/>
      <c r="I452" s="3" t="str">
        <f t="shared" ref="I452:I454" si="220">TESTmultipleByOneDigit(E452,F452,G452)</f>
        <v>00</v>
      </c>
      <c r="J452" s="2"/>
      <c r="K452" s="2"/>
      <c r="L452" s="2"/>
      <c r="M452" s="3" t="s">
        <v>97</v>
      </c>
      <c r="N452" s="2"/>
      <c r="O452" s="2"/>
      <c r="P452" s="2"/>
      <c r="Q452" s="3" t="b">
        <f t="shared" ref="Q452:Q454" si="221">getText(I452)=getText(M452)</f>
        <v>1</v>
      </c>
      <c r="R452" s="6"/>
      <c r="S452" s="6"/>
    </row>
    <row r="453" spans="2:19" x14ac:dyDescent="0.15">
      <c r="C453" s="6"/>
      <c r="D453" s="7" t="s">
        <v>288</v>
      </c>
      <c r="E453" s="9" t="s">
        <v>341</v>
      </c>
      <c r="F453" s="14" t="s">
        <v>346</v>
      </c>
      <c r="G453" s="7">
        <v>10</v>
      </c>
      <c r="H453" s="6"/>
      <c r="I453" s="1" t="str">
        <f t="shared" si="220"/>
        <v>00</v>
      </c>
      <c r="J453" s="6"/>
      <c r="K453" s="6"/>
      <c r="L453" s="6"/>
      <c r="M453" s="1" t="s">
        <v>97</v>
      </c>
      <c r="N453" s="6"/>
      <c r="O453" s="6"/>
      <c r="P453" s="6"/>
      <c r="Q453" s="1" t="b">
        <f t="shared" si="221"/>
        <v>1</v>
      </c>
      <c r="R453" s="6"/>
      <c r="S453" s="6"/>
    </row>
    <row r="454" spans="2:19" x14ac:dyDescent="0.15">
      <c r="C454" s="6"/>
      <c r="D454" s="7" t="s">
        <v>289</v>
      </c>
      <c r="E454" s="9" t="s">
        <v>341</v>
      </c>
      <c r="F454" s="14" t="s">
        <v>347</v>
      </c>
      <c r="G454" s="7">
        <v>16</v>
      </c>
      <c r="H454" s="6"/>
      <c r="I454" s="1" t="str">
        <f t="shared" si="220"/>
        <v>00</v>
      </c>
      <c r="J454" s="6"/>
      <c r="K454" s="6"/>
      <c r="L454" s="6"/>
      <c r="M454" s="1" t="s">
        <v>97</v>
      </c>
      <c r="N454" s="6"/>
      <c r="O454" s="6"/>
      <c r="P454" s="6"/>
      <c r="Q454" s="1" t="b">
        <f t="shared" si="221"/>
        <v>1</v>
      </c>
      <c r="R454" s="6"/>
      <c r="S454" s="6"/>
    </row>
    <row r="455" spans="2:19" x14ac:dyDescent="0.15">
      <c r="C455" s="2" t="s">
        <v>335</v>
      </c>
      <c r="D455" s="24" t="s">
        <v>287</v>
      </c>
      <c r="E455" s="11" t="s">
        <v>349</v>
      </c>
      <c r="F455" s="13" t="s">
        <v>345</v>
      </c>
      <c r="G455" s="24">
        <v>3</v>
      </c>
      <c r="H455" s="2"/>
      <c r="I455" s="3" t="str">
        <f t="shared" ref="I455:I457" si="222">TESTmultipleByOneDigit(E455,F455,G455)</f>
        <v>11</v>
      </c>
      <c r="J455" s="2"/>
      <c r="K455" s="2"/>
      <c r="L455" s="2"/>
      <c r="M455" s="3" t="s">
        <v>18</v>
      </c>
      <c r="N455" s="2"/>
      <c r="O455" s="2"/>
      <c r="P455" s="2"/>
      <c r="Q455" s="3" t="b">
        <f t="shared" ref="Q455:Q457" si="223">getText(I455)=getText(M455)</f>
        <v>1</v>
      </c>
      <c r="R455" s="6"/>
      <c r="S455" s="6"/>
    </row>
    <row r="456" spans="2:19" x14ac:dyDescent="0.15">
      <c r="C456" s="6"/>
      <c r="D456" s="7" t="s">
        <v>288</v>
      </c>
      <c r="E456" s="9" t="s">
        <v>350</v>
      </c>
      <c r="F456" s="14" t="s">
        <v>346</v>
      </c>
      <c r="G456" s="7">
        <v>10</v>
      </c>
      <c r="H456" s="6"/>
      <c r="I456" s="1" t="str">
        <f t="shared" si="222"/>
        <v>81</v>
      </c>
      <c r="J456" s="6"/>
      <c r="K456" s="6"/>
      <c r="L456" s="6"/>
      <c r="M456" s="1" t="s">
        <v>328</v>
      </c>
      <c r="N456" s="6"/>
      <c r="O456" s="6"/>
      <c r="P456" s="6"/>
      <c r="Q456" s="1" t="b">
        <f t="shared" si="223"/>
        <v>1</v>
      </c>
      <c r="R456" s="6"/>
      <c r="S456" s="6"/>
    </row>
    <row r="457" spans="2:19" x14ac:dyDescent="0.15">
      <c r="C457" s="6"/>
      <c r="D457" s="7" t="s">
        <v>289</v>
      </c>
      <c r="E457" s="9" t="s">
        <v>351</v>
      </c>
      <c r="F457" s="14" t="s">
        <v>347</v>
      </c>
      <c r="G457" s="7">
        <v>16</v>
      </c>
      <c r="H457" s="6"/>
      <c r="I457" s="1" t="str">
        <f t="shared" si="222"/>
        <v>E1</v>
      </c>
      <c r="J457" s="6"/>
      <c r="K457" s="6"/>
      <c r="L457" s="6"/>
      <c r="M457" s="1" t="s">
        <v>327</v>
      </c>
      <c r="N457" s="6"/>
      <c r="O457" s="6"/>
      <c r="P457" s="6"/>
      <c r="Q457" s="1" t="b">
        <f t="shared" si="223"/>
        <v>1</v>
      </c>
      <c r="R457" s="6"/>
      <c r="S457" s="6"/>
    </row>
    <row r="458" spans="2:19" x14ac:dyDescent="0.15">
      <c r="C458" s="2" t="s">
        <v>336</v>
      </c>
      <c r="D458" s="24" t="s">
        <v>287</v>
      </c>
      <c r="E458" s="11" t="s">
        <v>282</v>
      </c>
      <c r="F458" s="13" t="s">
        <v>348</v>
      </c>
      <c r="G458" s="24">
        <v>3</v>
      </c>
      <c r="H458" s="2"/>
      <c r="I458" s="3" t="str">
        <f t="shared" ref="I458:I460" si="224">TESTmultipleByOneDigit(E458,F458,G458)</f>
        <v>00</v>
      </c>
      <c r="J458" s="2"/>
      <c r="K458" s="2"/>
      <c r="L458" s="2"/>
      <c r="M458" s="3" t="s">
        <v>97</v>
      </c>
      <c r="N458" s="2"/>
      <c r="O458" s="2"/>
      <c r="P458" s="2"/>
      <c r="Q458" s="3" t="b">
        <f t="shared" ref="Q458:Q460" si="225">getText(I458)=getText(M458)</f>
        <v>1</v>
      </c>
      <c r="R458" s="6"/>
      <c r="S458" s="6"/>
    </row>
    <row r="459" spans="2:19" x14ac:dyDescent="0.15">
      <c r="C459" s="6"/>
      <c r="D459" s="7" t="s">
        <v>288</v>
      </c>
      <c r="E459" s="9" t="s">
        <v>282</v>
      </c>
      <c r="F459" s="14" t="s">
        <v>352</v>
      </c>
      <c r="G459" s="7">
        <v>10</v>
      </c>
      <c r="H459" s="6"/>
      <c r="I459" s="1" t="str">
        <f t="shared" si="224"/>
        <v>00</v>
      </c>
      <c r="J459" s="6"/>
      <c r="K459" s="6"/>
      <c r="L459" s="6"/>
      <c r="M459" s="1" t="s">
        <v>97</v>
      </c>
      <c r="N459" s="6"/>
      <c r="O459" s="6"/>
      <c r="P459" s="6"/>
      <c r="Q459" s="1" t="b">
        <f t="shared" si="225"/>
        <v>1</v>
      </c>
      <c r="R459" s="6"/>
      <c r="S459" s="6"/>
    </row>
    <row r="460" spans="2:19" x14ac:dyDescent="0.15">
      <c r="C460" s="6"/>
      <c r="D460" s="7" t="s">
        <v>289</v>
      </c>
      <c r="E460" s="9" t="s">
        <v>282</v>
      </c>
      <c r="F460" s="14" t="s">
        <v>348</v>
      </c>
      <c r="G460" s="7">
        <v>16</v>
      </c>
      <c r="H460" s="6"/>
      <c r="I460" s="1" t="str">
        <f t="shared" si="224"/>
        <v>00</v>
      </c>
      <c r="J460" s="6"/>
      <c r="K460" s="6"/>
      <c r="L460" s="6"/>
      <c r="M460" s="1" t="s">
        <v>97</v>
      </c>
      <c r="N460" s="6"/>
      <c r="O460" s="6"/>
      <c r="P460" s="6"/>
      <c r="Q460" s="1" t="b">
        <f t="shared" si="225"/>
        <v>1</v>
      </c>
      <c r="R460" s="6"/>
      <c r="S460" s="6"/>
    </row>
    <row r="461" spans="2:19" x14ac:dyDescent="0.15">
      <c r="B461" s="4" t="s">
        <v>355</v>
      </c>
      <c r="C461" s="2" t="s">
        <v>337</v>
      </c>
      <c r="D461" s="24" t="s">
        <v>287</v>
      </c>
      <c r="E461" s="11" t="s">
        <v>353</v>
      </c>
      <c r="F461" s="13" t="s">
        <v>354</v>
      </c>
      <c r="G461" s="24">
        <v>3</v>
      </c>
      <c r="H461" s="2"/>
      <c r="I461" s="3"/>
      <c r="J461" s="2"/>
      <c r="K461" s="2"/>
      <c r="L461" s="2"/>
      <c r="M461" s="3"/>
      <c r="N461" s="2"/>
      <c r="O461" s="2"/>
      <c r="P461" s="2"/>
      <c r="Q461" s="3"/>
      <c r="R461" s="6"/>
      <c r="S461" s="6"/>
    </row>
    <row r="462" spans="2:19" x14ac:dyDescent="0.15">
      <c r="C462" s="6"/>
      <c r="D462" s="7" t="s">
        <v>288</v>
      </c>
      <c r="E462" s="9" t="s">
        <v>342</v>
      </c>
      <c r="F462" s="14" t="s">
        <v>342</v>
      </c>
      <c r="G462" s="7">
        <v>10</v>
      </c>
      <c r="H462" s="6"/>
      <c r="J462" s="6"/>
      <c r="K462" s="6"/>
      <c r="L462" s="6"/>
      <c r="N462" s="6"/>
      <c r="O462" s="6"/>
      <c r="P462" s="6"/>
      <c r="R462" s="6"/>
      <c r="S462" s="6"/>
    </row>
    <row r="463" spans="2:19" x14ac:dyDescent="0.15">
      <c r="C463" s="6"/>
      <c r="D463" s="7" t="s">
        <v>289</v>
      </c>
      <c r="E463" s="9" t="s">
        <v>342</v>
      </c>
      <c r="F463" s="14" t="s">
        <v>342</v>
      </c>
      <c r="G463" s="7">
        <v>16</v>
      </c>
      <c r="H463" s="6"/>
      <c r="J463" s="6"/>
      <c r="K463" s="6"/>
      <c r="L463" s="6"/>
      <c r="N463" s="6"/>
      <c r="O463" s="6"/>
      <c r="P463" s="6"/>
      <c r="R463" s="6"/>
      <c r="S463" s="6"/>
    </row>
    <row r="464" spans="2:19" x14ac:dyDescent="0.15">
      <c r="C464" s="2" t="s">
        <v>338</v>
      </c>
      <c r="D464" s="24" t="s">
        <v>287</v>
      </c>
      <c r="E464" s="11" t="s">
        <v>356</v>
      </c>
      <c r="F464" s="13" t="s">
        <v>345</v>
      </c>
      <c r="G464" s="24">
        <v>3</v>
      </c>
      <c r="H464" s="2"/>
      <c r="I464" s="3" t="str">
        <f t="shared" ref="I464:I466" si="226">TESTmultipleByOneDigit(E464,F464,G464)</f>
        <v>110</v>
      </c>
      <c r="J464" s="2"/>
      <c r="K464" s="2"/>
      <c r="L464" s="2"/>
      <c r="M464" s="3" t="s">
        <v>274</v>
      </c>
      <c r="N464" s="2"/>
      <c r="O464" s="2"/>
      <c r="P464" s="2"/>
      <c r="Q464" s="3" t="b">
        <f t="shared" ref="Q464:Q466" si="227">getText(I464)=getText(M464)</f>
        <v>1</v>
      </c>
      <c r="R464" s="6"/>
      <c r="S464" s="6"/>
    </row>
    <row r="465" spans="1:19" x14ac:dyDescent="0.15">
      <c r="C465" s="6"/>
      <c r="D465" s="7" t="s">
        <v>288</v>
      </c>
      <c r="E465" s="9" t="s">
        <v>357</v>
      </c>
      <c r="F465" s="14" t="s">
        <v>346</v>
      </c>
      <c r="G465" s="7">
        <v>10</v>
      </c>
      <c r="H465" s="6"/>
      <c r="I465" s="1" t="str">
        <f t="shared" si="226"/>
        <v>810</v>
      </c>
      <c r="J465" s="6"/>
      <c r="K465" s="6"/>
      <c r="L465" s="6"/>
      <c r="M465" s="1" t="s">
        <v>359</v>
      </c>
      <c r="N465" s="6"/>
      <c r="O465" s="6"/>
      <c r="P465" s="6"/>
      <c r="Q465" s="1" t="b">
        <f t="shared" si="227"/>
        <v>1</v>
      </c>
      <c r="R465" s="6"/>
      <c r="S465" s="6"/>
    </row>
    <row r="466" spans="1:19" x14ac:dyDescent="0.15">
      <c r="C466" s="6"/>
      <c r="D466" s="7" t="s">
        <v>289</v>
      </c>
      <c r="E466" s="9" t="s">
        <v>358</v>
      </c>
      <c r="F466" s="14" t="s">
        <v>347</v>
      </c>
      <c r="G466" s="7">
        <v>16</v>
      </c>
      <c r="H466" s="6"/>
      <c r="I466" s="1" t="str">
        <f t="shared" si="226"/>
        <v>E10</v>
      </c>
      <c r="J466" s="6"/>
      <c r="K466" s="6"/>
      <c r="L466" s="6"/>
      <c r="M466" s="1" t="s">
        <v>360</v>
      </c>
      <c r="N466" s="6"/>
      <c r="O466" s="6"/>
      <c r="P466" s="6"/>
      <c r="Q466" s="1" t="b">
        <f t="shared" si="227"/>
        <v>1</v>
      </c>
      <c r="R466" s="6"/>
      <c r="S466" s="6"/>
    </row>
    <row r="467" spans="1:19" x14ac:dyDescent="0.15">
      <c r="C467" s="2" t="s">
        <v>339</v>
      </c>
      <c r="D467" s="24" t="s">
        <v>287</v>
      </c>
      <c r="E467" s="11" t="s">
        <v>292</v>
      </c>
      <c r="F467" s="13" t="s">
        <v>290</v>
      </c>
      <c r="G467" s="24">
        <v>3</v>
      </c>
      <c r="H467" s="2"/>
      <c r="I467" s="3" t="str">
        <f t="shared" ref="I467:I469" si="228">TESTmultipleByOneDigit(E467,F467,G467)</f>
        <v>121</v>
      </c>
      <c r="J467" s="2"/>
      <c r="K467" s="2"/>
      <c r="L467" s="2"/>
      <c r="M467" s="3" t="s">
        <v>302</v>
      </c>
      <c r="N467" s="2"/>
      <c r="O467" s="2"/>
      <c r="P467" s="2"/>
      <c r="Q467" s="3" t="b">
        <f t="shared" ref="Q467:Q469" si="229">getText(I467)=getText(M467)</f>
        <v>1</v>
      </c>
      <c r="R467" s="6"/>
      <c r="S467" s="6"/>
    </row>
    <row r="468" spans="1:19" x14ac:dyDescent="0.15">
      <c r="C468" s="6"/>
      <c r="D468" s="7" t="s">
        <v>288</v>
      </c>
      <c r="E468" s="9" t="s">
        <v>361</v>
      </c>
      <c r="F468" s="14" t="s">
        <v>100</v>
      </c>
      <c r="G468" s="7">
        <v>10</v>
      </c>
      <c r="H468" s="6"/>
      <c r="I468" s="1" t="str">
        <f t="shared" si="228"/>
        <v>891</v>
      </c>
      <c r="J468" s="6"/>
      <c r="K468" s="6"/>
      <c r="L468" s="6"/>
      <c r="M468" s="1" t="s">
        <v>363</v>
      </c>
      <c r="N468" s="6"/>
      <c r="O468" s="6"/>
      <c r="P468" s="6"/>
      <c r="Q468" s="1" t="b">
        <f t="shared" si="229"/>
        <v>1</v>
      </c>
      <c r="R468" s="6"/>
      <c r="S468" s="6"/>
    </row>
    <row r="469" spans="1:19" x14ac:dyDescent="0.15">
      <c r="C469" s="6"/>
      <c r="D469" s="7" t="s">
        <v>289</v>
      </c>
      <c r="E469" s="9" t="s">
        <v>362</v>
      </c>
      <c r="F469" s="14" t="s">
        <v>98</v>
      </c>
      <c r="G469" s="7">
        <v>16</v>
      </c>
      <c r="H469" s="6"/>
      <c r="I469" s="1" t="str">
        <f t="shared" si="228"/>
        <v>EF1</v>
      </c>
      <c r="J469" s="6"/>
      <c r="K469" s="6"/>
      <c r="L469" s="6"/>
      <c r="M469" s="1" t="s">
        <v>364</v>
      </c>
      <c r="N469" s="6"/>
      <c r="O469" s="6"/>
      <c r="P469" s="6"/>
      <c r="Q469" s="1" t="b">
        <f t="shared" si="229"/>
        <v>1</v>
      </c>
      <c r="R469" s="35"/>
      <c r="S469" s="35"/>
    </row>
    <row r="470" spans="1:19" s="2" customFormat="1" x14ac:dyDescent="0.15">
      <c r="A470" s="2" t="s">
        <v>59</v>
      </c>
      <c r="B470" s="2" t="s">
        <v>36</v>
      </c>
      <c r="C470" s="2" t="s">
        <v>38</v>
      </c>
      <c r="D470" s="2" t="s">
        <v>46</v>
      </c>
      <c r="E470" s="3">
        <v>1</v>
      </c>
      <c r="F470" s="13" t="s">
        <v>40</v>
      </c>
      <c r="G470" s="2">
        <v>2</v>
      </c>
      <c r="H470" s="2">
        <v>0</v>
      </c>
      <c r="I470" s="3" t="str">
        <f t="shared" ref="I470:I478" si="230">TESTdivide(E470,F470,G470,H470)</f>
        <v>0</v>
      </c>
      <c r="J470" s="2" t="str">
        <f t="shared" ref="J470:J478" si="231">TESTdivideByRef1(E470,F470,G470,H470)</f>
        <v>1</v>
      </c>
      <c r="K470" s="2">
        <f t="shared" ref="K470:K478" si="232">TESTdivideByRef2(E470,F470,G470,H470)</f>
        <v>0</v>
      </c>
      <c r="M470" s="3" t="s">
        <v>14</v>
      </c>
      <c r="N470" s="2" t="s">
        <v>44</v>
      </c>
      <c r="O470" s="2">
        <v>0</v>
      </c>
      <c r="Q470" s="3" t="b">
        <f t="shared" ref="Q470" si="233">getText(I470)=getText(M470)</f>
        <v>1</v>
      </c>
      <c r="R470" s="2" t="b">
        <f t="shared" ref="R470" si="234">getText(J470)=getText(N470)</f>
        <v>1</v>
      </c>
      <c r="S470" s="2" t="b">
        <f t="shared" ref="S470" si="235">getText(K470)=getText(O470)</f>
        <v>1</v>
      </c>
    </row>
    <row r="471" spans="1:19" x14ac:dyDescent="0.15">
      <c r="C471" t="s">
        <v>51</v>
      </c>
      <c r="D471" t="s">
        <v>47</v>
      </c>
      <c r="E471" s="1">
        <v>1</v>
      </c>
      <c r="F471" s="17">
        <v>2147483647</v>
      </c>
      <c r="G471">
        <v>10</v>
      </c>
      <c r="H471">
        <v>0</v>
      </c>
      <c r="I471" s="1" t="str">
        <f t="shared" si="230"/>
        <v>0</v>
      </c>
      <c r="J471" t="str">
        <f t="shared" si="231"/>
        <v>1</v>
      </c>
      <c r="K471">
        <f t="shared" si="232"/>
        <v>0</v>
      </c>
      <c r="M471" s="1" t="s">
        <v>14</v>
      </c>
      <c r="N471" t="s">
        <v>44</v>
      </c>
      <c r="O471">
        <v>0</v>
      </c>
      <c r="Q471" s="1" t="b">
        <f t="shared" ref="Q471:Q475" si="236">getText(I471)=getText(M471)</f>
        <v>1</v>
      </c>
      <c r="R471" t="b">
        <f t="shared" ref="R471:R475" si="237">getText(J471)=getText(N471)</f>
        <v>1</v>
      </c>
      <c r="S471" t="b">
        <f t="shared" ref="S471:S475" si="238">getText(K471)=getText(O471)</f>
        <v>1</v>
      </c>
    </row>
    <row r="472" spans="1:19" x14ac:dyDescent="0.15">
      <c r="D472" t="s">
        <v>49</v>
      </c>
      <c r="E472" s="1">
        <v>1</v>
      </c>
      <c r="F472" s="17" t="s">
        <v>50</v>
      </c>
      <c r="G472">
        <v>16</v>
      </c>
      <c r="H472">
        <v>0</v>
      </c>
      <c r="I472" s="1" t="str">
        <f t="shared" si="230"/>
        <v>0</v>
      </c>
      <c r="J472" t="str">
        <f t="shared" si="231"/>
        <v>1</v>
      </c>
      <c r="K472">
        <f t="shared" si="232"/>
        <v>0</v>
      </c>
      <c r="M472" s="1" t="s">
        <v>14</v>
      </c>
      <c r="N472" t="s">
        <v>44</v>
      </c>
      <c r="O472">
        <v>0</v>
      </c>
      <c r="Q472" s="1" t="b">
        <f t="shared" si="236"/>
        <v>1</v>
      </c>
      <c r="R472" t="b">
        <f t="shared" si="237"/>
        <v>1</v>
      </c>
      <c r="S472" t="b">
        <f t="shared" si="238"/>
        <v>1</v>
      </c>
    </row>
    <row r="473" spans="1:19" x14ac:dyDescent="0.15">
      <c r="C473" s="2" t="s">
        <v>39</v>
      </c>
      <c r="D473" s="2" t="s">
        <v>46</v>
      </c>
      <c r="E473" s="3">
        <v>1</v>
      </c>
      <c r="F473" s="13" t="s">
        <v>41</v>
      </c>
      <c r="G473" s="2">
        <v>2</v>
      </c>
      <c r="H473" s="2">
        <v>0</v>
      </c>
      <c r="I473" s="3" t="str">
        <f t="shared" si="230"/>
        <v/>
      </c>
      <c r="J473" s="2" t="str">
        <f t="shared" si="231"/>
        <v/>
      </c>
      <c r="K473" s="2" t="e">
        <f t="shared" si="232"/>
        <v>#NUM!</v>
      </c>
      <c r="L473" s="2"/>
      <c r="M473" s="3" t="s">
        <v>45</v>
      </c>
      <c r="N473" s="2" t="s">
        <v>45</v>
      </c>
      <c r="O473" s="2" t="e">
        <v>#NUM!</v>
      </c>
      <c r="P473" s="2"/>
      <c r="Q473" s="3" t="b">
        <f t="shared" si="236"/>
        <v>1</v>
      </c>
      <c r="R473" s="2" t="b">
        <f t="shared" si="237"/>
        <v>1</v>
      </c>
      <c r="S473" s="2" t="b">
        <f t="shared" si="238"/>
        <v>1</v>
      </c>
    </row>
    <row r="474" spans="1:19" x14ac:dyDescent="0.15">
      <c r="C474" t="s">
        <v>52</v>
      </c>
      <c r="D474" t="s">
        <v>47</v>
      </c>
      <c r="E474" s="1">
        <v>1</v>
      </c>
      <c r="F474">
        <v>2147483648</v>
      </c>
      <c r="G474">
        <v>10</v>
      </c>
      <c r="H474">
        <v>0</v>
      </c>
      <c r="I474" s="1" t="str">
        <f t="shared" si="230"/>
        <v/>
      </c>
      <c r="J474" t="str">
        <f t="shared" si="231"/>
        <v/>
      </c>
      <c r="K474" t="e">
        <f t="shared" si="232"/>
        <v>#NUM!</v>
      </c>
      <c r="M474" s="1" t="s">
        <v>45</v>
      </c>
      <c r="N474" t="s">
        <v>45</v>
      </c>
      <c r="O474" t="e">
        <v>#NUM!</v>
      </c>
      <c r="Q474" s="1" t="b">
        <f t="shared" si="236"/>
        <v>1</v>
      </c>
      <c r="R474" t="b">
        <f t="shared" si="237"/>
        <v>1</v>
      </c>
      <c r="S474" t="b">
        <f t="shared" si="238"/>
        <v>1</v>
      </c>
    </row>
    <row r="475" spans="1:19" x14ac:dyDescent="0.15">
      <c r="D475" t="s">
        <v>49</v>
      </c>
      <c r="E475" s="1">
        <v>1</v>
      </c>
      <c r="F475">
        <v>80000000</v>
      </c>
      <c r="G475">
        <v>16</v>
      </c>
      <c r="H475">
        <v>0</v>
      </c>
      <c r="I475" s="1" t="str">
        <f t="shared" si="230"/>
        <v/>
      </c>
      <c r="J475" t="str">
        <f t="shared" si="231"/>
        <v/>
      </c>
      <c r="K475" t="e">
        <f t="shared" si="232"/>
        <v>#NUM!</v>
      </c>
      <c r="M475" s="1" t="s">
        <v>45</v>
      </c>
      <c r="N475" t="s">
        <v>45</v>
      </c>
      <c r="O475" t="e">
        <v>#NUM!</v>
      </c>
      <c r="Q475" s="1" t="b">
        <f t="shared" si="236"/>
        <v>1</v>
      </c>
      <c r="R475" t="b">
        <f t="shared" si="237"/>
        <v>1</v>
      </c>
      <c r="S475" t="b">
        <f t="shared" si="238"/>
        <v>1</v>
      </c>
    </row>
    <row r="476" spans="1:19" x14ac:dyDescent="0.15">
      <c r="B476" s="2" t="s">
        <v>42</v>
      </c>
      <c r="C476" s="2"/>
      <c r="D476" s="2" t="s">
        <v>46</v>
      </c>
      <c r="E476" s="3">
        <v>1</v>
      </c>
      <c r="F476" s="2">
        <v>0</v>
      </c>
      <c r="G476" s="2">
        <v>2</v>
      </c>
      <c r="H476" s="2">
        <v>0</v>
      </c>
      <c r="I476" s="3" t="str">
        <f t="shared" si="230"/>
        <v/>
      </c>
      <c r="J476" s="2" t="str">
        <f t="shared" si="231"/>
        <v/>
      </c>
      <c r="K476" s="2" t="e">
        <f t="shared" si="232"/>
        <v>#DIV/0!</v>
      </c>
      <c r="L476" s="2"/>
      <c r="M476" s="3" t="s">
        <v>45</v>
      </c>
      <c r="N476" s="2" t="s">
        <v>45</v>
      </c>
      <c r="O476" s="2" t="e">
        <v>#DIV/0!</v>
      </c>
      <c r="P476" s="2"/>
      <c r="Q476" s="3" t="b">
        <f t="shared" ref="Q476:Q478" si="239">getText(I476)=getText(M476)</f>
        <v>1</v>
      </c>
      <c r="R476" s="2" t="b">
        <f t="shared" ref="R476:R478" si="240">getText(J476)=getText(N476)</f>
        <v>1</v>
      </c>
      <c r="S476" s="2" t="b">
        <f t="shared" ref="S476:S478" si="241">getText(K476)=getText(O476)</f>
        <v>1</v>
      </c>
    </row>
    <row r="477" spans="1:19" x14ac:dyDescent="0.15">
      <c r="B477" s="6"/>
      <c r="C477" s="6"/>
      <c r="D477" s="6" t="s">
        <v>47</v>
      </c>
      <c r="E477" s="1">
        <v>1</v>
      </c>
      <c r="F477" s="6">
        <v>0</v>
      </c>
      <c r="G477" s="6">
        <v>10</v>
      </c>
      <c r="H477" s="6">
        <v>0</v>
      </c>
      <c r="I477" s="1" t="str">
        <f t="shared" si="230"/>
        <v/>
      </c>
      <c r="J477" s="6" t="str">
        <f t="shared" si="231"/>
        <v/>
      </c>
      <c r="K477" s="6" t="e">
        <f t="shared" si="232"/>
        <v>#DIV/0!</v>
      </c>
      <c r="L477" s="6"/>
      <c r="M477" s="1" t="s">
        <v>45</v>
      </c>
      <c r="N477" s="6" t="s">
        <v>45</v>
      </c>
      <c r="O477" s="6" t="e">
        <v>#DIV/0!</v>
      </c>
      <c r="P477" s="6"/>
      <c r="Q477" s="1" t="b">
        <f t="shared" si="239"/>
        <v>1</v>
      </c>
      <c r="R477" s="6" t="b">
        <f t="shared" si="240"/>
        <v>1</v>
      </c>
      <c r="S477" s="6" t="b">
        <f t="shared" si="241"/>
        <v>1</v>
      </c>
    </row>
    <row r="478" spans="1:19" x14ac:dyDescent="0.15">
      <c r="B478" s="6"/>
      <c r="C478" s="6"/>
      <c r="D478" s="6" t="s">
        <v>49</v>
      </c>
      <c r="E478" s="1">
        <v>1</v>
      </c>
      <c r="F478" s="6">
        <v>0</v>
      </c>
      <c r="G478" s="6">
        <v>16</v>
      </c>
      <c r="H478" s="6">
        <v>0</v>
      </c>
      <c r="I478" s="1" t="str">
        <f t="shared" si="230"/>
        <v/>
      </c>
      <c r="J478" s="6" t="str">
        <f t="shared" si="231"/>
        <v/>
      </c>
      <c r="K478" s="6" t="e">
        <f t="shared" si="232"/>
        <v>#DIV/0!</v>
      </c>
      <c r="L478" s="6"/>
      <c r="M478" s="1" t="s">
        <v>45</v>
      </c>
      <c r="N478" s="6" t="s">
        <v>45</v>
      </c>
      <c r="O478" s="6" t="e">
        <v>#DIV/0!</v>
      </c>
      <c r="P478" s="6"/>
      <c r="Q478" s="1" t="b">
        <f t="shared" si="239"/>
        <v>1</v>
      </c>
      <c r="R478" s="6" t="b">
        <f t="shared" si="240"/>
        <v>1</v>
      </c>
      <c r="S478" s="6" t="b">
        <f t="shared" si="241"/>
        <v>1</v>
      </c>
    </row>
    <row r="479" spans="1:19" x14ac:dyDescent="0.15">
      <c r="B479" s="2" t="s">
        <v>43</v>
      </c>
      <c r="C479" s="2"/>
      <c r="D479" s="16" t="s">
        <v>46</v>
      </c>
      <c r="E479" s="11" t="s">
        <v>64</v>
      </c>
      <c r="F479" s="2">
        <v>1</v>
      </c>
      <c r="G479" s="2">
        <v>2</v>
      </c>
      <c r="H479" s="2">
        <v>0</v>
      </c>
      <c r="I479" s="3" t="str">
        <f t="shared" ref="I479:I481" si="242">TESTdivide(E479,F479,G479,H479)</f>
        <v>001000000000000000000000000000000000</v>
      </c>
      <c r="J479" s="2" t="str">
        <f t="shared" ref="J479:J481" si="243">TESTdivideByRef1(E479,F479,G479,H479)</f>
        <v/>
      </c>
      <c r="K479" s="2">
        <f t="shared" ref="K479:K481" si="244">TESTdivideByRef2(E479,F479,G479,H479)</f>
        <v>0</v>
      </c>
      <c r="L479" s="2"/>
      <c r="M479" s="20" t="s">
        <v>63</v>
      </c>
      <c r="N479" s="2"/>
      <c r="O479" s="2">
        <v>0</v>
      </c>
      <c r="P479" s="2"/>
      <c r="Q479" s="3" t="b">
        <f t="shared" ref="Q479:Q481" si="245">getText(I479)=getText(M479)</f>
        <v>1</v>
      </c>
      <c r="R479" s="2" t="b">
        <f t="shared" ref="R479:R481" si="246">getText(J479)=getText(N479)</f>
        <v>1</v>
      </c>
      <c r="S479" s="2" t="b">
        <f t="shared" ref="S479:S481" si="247">getText(K479)=getText(O479)</f>
        <v>1</v>
      </c>
    </row>
    <row r="480" spans="1:19" x14ac:dyDescent="0.15">
      <c r="D480" s="15" t="s">
        <v>47</v>
      </c>
      <c r="E480" s="9" t="s">
        <v>66</v>
      </c>
      <c r="F480">
        <v>1</v>
      </c>
      <c r="G480">
        <v>10</v>
      </c>
      <c r="H480">
        <v>0</v>
      </c>
      <c r="I480" s="1" t="str">
        <f t="shared" si="242"/>
        <v>00214748364800</v>
      </c>
      <c r="J480" t="str">
        <f t="shared" si="243"/>
        <v/>
      </c>
      <c r="K480">
        <f t="shared" si="244"/>
        <v>0</v>
      </c>
      <c r="M480" s="21" t="s">
        <v>65</v>
      </c>
      <c r="O480">
        <v>0</v>
      </c>
      <c r="Q480" s="1" t="b">
        <f t="shared" si="245"/>
        <v>1</v>
      </c>
      <c r="R480" t="b">
        <f t="shared" si="246"/>
        <v>1</v>
      </c>
      <c r="S480" t="b">
        <f t="shared" si="247"/>
        <v>1</v>
      </c>
    </row>
    <row r="481" spans="1:19" x14ac:dyDescent="0.15">
      <c r="D481" s="15" t="s">
        <v>49</v>
      </c>
      <c r="E481" s="9" t="s">
        <v>68</v>
      </c>
      <c r="F481">
        <v>1</v>
      </c>
      <c r="G481">
        <v>16</v>
      </c>
      <c r="H481">
        <v>0</v>
      </c>
      <c r="I481" s="1" t="str">
        <f t="shared" si="242"/>
        <v>008000000000</v>
      </c>
      <c r="J481" t="str">
        <f t="shared" si="243"/>
        <v/>
      </c>
      <c r="K481">
        <f t="shared" si="244"/>
        <v>0</v>
      </c>
      <c r="M481" s="21" t="s">
        <v>67</v>
      </c>
      <c r="O481">
        <v>0</v>
      </c>
      <c r="Q481" s="1" t="b">
        <f t="shared" si="245"/>
        <v>1</v>
      </c>
      <c r="R481" t="b">
        <f t="shared" si="246"/>
        <v>1</v>
      </c>
      <c r="S481" t="b">
        <f t="shared" si="247"/>
        <v>1</v>
      </c>
    </row>
    <row r="482" spans="1:19" x14ac:dyDescent="0.15">
      <c r="B482" s="2" t="s">
        <v>37</v>
      </c>
      <c r="C482" s="2" t="s">
        <v>38</v>
      </c>
      <c r="D482" s="2" t="s">
        <v>46</v>
      </c>
      <c r="E482" s="11" t="s">
        <v>102</v>
      </c>
      <c r="F482" s="13" t="s">
        <v>102</v>
      </c>
      <c r="G482" s="2">
        <v>2</v>
      </c>
      <c r="H482" s="2">
        <v>0</v>
      </c>
      <c r="I482" s="3" t="str">
        <f t="shared" ref="I482" si="248">TESTdivide(E482,F482,G482,H482)</f>
        <v>0000000000000000000000000000001</v>
      </c>
      <c r="J482" s="2" t="str">
        <f t="shared" ref="J482" si="249">TESTdivideByRef1(E482,F482,G482,H482)</f>
        <v>0000000000000000000000000000000</v>
      </c>
      <c r="K482" s="2">
        <f t="shared" ref="K482" si="250">TESTdivideByRef2(E482,F482,G482,H482)</f>
        <v>0</v>
      </c>
      <c r="L482" s="2"/>
      <c r="M482" s="3" t="s">
        <v>107</v>
      </c>
      <c r="N482" s="2" t="s">
        <v>906</v>
      </c>
      <c r="O482" s="2">
        <v>0</v>
      </c>
      <c r="P482" s="2"/>
      <c r="Q482" s="3" t="b">
        <f t="shared" ref="Q482:Q484" si="251">getText(I482)=getText(M482)</f>
        <v>1</v>
      </c>
      <c r="R482" s="2" t="b">
        <f t="shared" ref="R482:R484" si="252">getText(J482)=getText(N482)</f>
        <v>1</v>
      </c>
      <c r="S482" s="2" t="b">
        <f t="shared" ref="S482:S484" si="253">getText(K482)=getText(O482)</f>
        <v>1</v>
      </c>
    </row>
    <row r="483" spans="1:19" x14ac:dyDescent="0.15">
      <c r="C483" t="s">
        <v>51</v>
      </c>
      <c r="D483" t="s">
        <v>47</v>
      </c>
      <c r="E483" s="9" t="s">
        <v>103</v>
      </c>
      <c r="F483" s="14" t="s">
        <v>103</v>
      </c>
      <c r="G483">
        <v>10</v>
      </c>
      <c r="H483" s="7">
        <v>0</v>
      </c>
      <c r="I483" s="1" t="str">
        <f t="shared" ref="I483:I484" si="254">TESTdivide(E483,F483,G483,H483)</f>
        <v>0000000001</v>
      </c>
      <c r="J483" t="str">
        <f t="shared" ref="J483:J484" si="255">TESTdivideByRef1(E483,F483,G483,H483)</f>
        <v>0000000000</v>
      </c>
      <c r="K483">
        <f t="shared" ref="K483:K484" si="256">TESTdivideByRef2(E483,F483,G483,H483)</f>
        <v>0</v>
      </c>
      <c r="M483" s="1" t="s">
        <v>108</v>
      </c>
      <c r="N483" t="s">
        <v>907</v>
      </c>
      <c r="O483">
        <v>0</v>
      </c>
      <c r="Q483" s="1" t="b">
        <f t="shared" si="251"/>
        <v>1</v>
      </c>
      <c r="R483" t="b">
        <f t="shared" si="252"/>
        <v>1</v>
      </c>
      <c r="S483" t="b">
        <f t="shared" si="253"/>
        <v>1</v>
      </c>
    </row>
    <row r="484" spans="1:19" x14ac:dyDescent="0.15">
      <c r="D484" t="s">
        <v>49</v>
      </c>
      <c r="E484" s="18" t="s">
        <v>50</v>
      </c>
      <c r="F484" s="19" t="s">
        <v>50</v>
      </c>
      <c r="G484">
        <v>16</v>
      </c>
      <c r="H484" s="7">
        <v>0</v>
      </c>
      <c r="I484" s="1" t="str">
        <f t="shared" si="254"/>
        <v>00000001</v>
      </c>
      <c r="J484" t="str">
        <f t="shared" si="255"/>
        <v>00000000</v>
      </c>
      <c r="K484">
        <f t="shared" si="256"/>
        <v>0</v>
      </c>
      <c r="M484" s="1" t="s">
        <v>109</v>
      </c>
      <c r="N484" t="s">
        <v>908</v>
      </c>
      <c r="O484">
        <v>0</v>
      </c>
      <c r="Q484" s="1" t="b">
        <f t="shared" si="251"/>
        <v>1</v>
      </c>
      <c r="R484" t="b">
        <f t="shared" si="252"/>
        <v>1</v>
      </c>
      <c r="S484" t="b">
        <f t="shared" si="253"/>
        <v>1</v>
      </c>
    </row>
    <row r="485" spans="1:19" x14ac:dyDescent="0.15">
      <c r="C485" s="2" t="s">
        <v>39</v>
      </c>
      <c r="D485" s="2" t="s">
        <v>46</v>
      </c>
      <c r="E485" s="11" t="s">
        <v>104</v>
      </c>
      <c r="F485" s="13" t="s">
        <v>102</v>
      </c>
      <c r="G485" s="2">
        <v>2</v>
      </c>
      <c r="H485" s="2">
        <v>0</v>
      </c>
      <c r="I485" s="3" t="str">
        <f t="shared" ref="I485:I490" si="257">TESTdivide(E485,F485,G485,H485)</f>
        <v/>
      </c>
      <c r="J485" s="2" t="str">
        <f t="shared" ref="J485:J490" si="258">TESTdivideByRef1(E485,F485,G485,H485)</f>
        <v/>
      </c>
      <c r="K485" s="2" t="e">
        <f t="shared" ref="K485:K490" si="259">TESTdivideByRef2(E485,F485,G485,H485)</f>
        <v>#NUM!</v>
      </c>
      <c r="L485" s="2"/>
      <c r="M485" s="3" t="s">
        <v>45</v>
      </c>
      <c r="N485" s="2" t="s">
        <v>45</v>
      </c>
      <c r="O485" s="2" t="e">
        <v>#NUM!</v>
      </c>
      <c r="P485" s="2"/>
      <c r="Q485" s="3" t="b">
        <f t="shared" ref="Q485:Q490" si="260">getText(I485)=getText(M485)</f>
        <v>1</v>
      </c>
      <c r="R485" s="2" t="b">
        <f t="shared" ref="R485:R490" si="261">getText(J485)=getText(N485)</f>
        <v>1</v>
      </c>
      <c r="S485" s="2" t="b">
        <f t="shared" ref="S485:S490" si="262">getText(K485)=getText(O485)</f>
        <v>1</v>
      </c>
    </row>
    <row r="486" spans="1:19" x14ac:dyDescent="0.15">
      <c r="C486" t="s">
        <v>52</v>
      </c>
      <c r="D486" t="s">
        <v>47</v>
      </c>
      <c r="E486" s="9" t="s">
        <v>105</v>
      </c>
      <c r="F486" s="14" t="s">
        <v>103</v>
      </c>
      <c r="G486">
        <v>10</v>
      </c>
      <c r="H486" s="7">
        <v>0</v>
      </c>
      <c r="I486" s="1" t="str">
        <f t="shared" si="257"/>
        <v/>
      </c>
      <c r="J486" t="str">
        <f t="shared" si="258"/>
        <v/>
      </c>
      <c r="K486" t="e">
        <f t="shared" si="259"/>
        <v>#NUM!</v>
      </c>
      <c r="M486" s="1" t="s">
        <v>45</v>
      </c>
      <c r="N486" t="s">
        <v>45</v>
      </c>
      <c r="O486" t="e">
        <v>#NUM!</v>
      </c>
      <c r="Q486" s="1" t="b">
        <f t="shared" si="260"/>
        <v>1</v>
      </c>
      <c r="R486" t="b">
        <f t="shared" si="261"/>
        <v>1</v>
      </c>
      <c r="S486" t="b">
        <f t="shared" si="262"/>
        <v>1</v>
      </c>
    </row>
    <row r="487" spans="1:19" x14ac:dyDescent="0.15">
      <c r="D487" t="s">
        <v>49</v>
      </c>
      <c r="E487" s="9" t="s">
        <v>106</v>
      </c>
      <c r="F487" s="14" t="s">
        <v>50</v>
      </c>
      <c r="G487">
        <v>16</v>
      </c>
      <c r="H487" s="7">
        <v>0</v>
      </c>
      <c r="I487" s="1" t="str">
        <f t="shared" si="257"/>
        <v/>
      </c>
      <c r="J487" t="str">
        <f t="shared" si="258"/>
        <v/>
      </c>
      <c r="K487" t="e">
        <f t="shared" si="259"/>
        <v>#NUM!</v>
      </c>
      <c r="M487" s="1" t="s">
        <v>45</v>
      </c>
      <c r="N487" t="s">
        <v>45</v>
      </c>
      <c r="O487" t="e">
        <v>#NUM!</v>
      </c>
      <c r="Q487" s="1" t="b">
        <f t="shared" si="260"/>
        <v>1</v>
      </c>
      <c r="R487" t="b">
        <f t="shared" si="261"/>
        <v>1</v>
      </c>
      <c r="S487" t="b">
        <f t="shared" si="262"/>
        <v>1</v>
      </c>
    </row>
    <row r="488" spans="1:19" x14ac:dyDescent="0.15">
      <c r="B488" s="2" t="s">
        <v>101</v>
      </c>
      <c r="C488" s="2"/>
      <c r="D488" s="2" t="s">
        <v>46</v>
      </c>
      <c r="E488" s="11" t="s">
        <v>69</v>
      </c>
      <c r="F488" s="13" t="s">
        <v>60</v>
      </c>
      <c r="G488" s="2">
        <v>2</v>
      </c>
      <c r="H488" s="2">
        <v>0</v>
      </c>
      <c r="I488" s="3" t="str">
        <f t="shared" si="257"/>
        <v>00000000000000000000000000000000100</v>
      </c>
      <c r="J488" s="2" t="str">
        <f t="shared" si="258"/>
        <v>00000000000000000000000000000000000</v>
      </c>
      <c r="K488" s="2">
        <f t="shared" si="259"/>
        <v>0</v>
      </c>
      <c r="L488" s="2"/>
      <c r="M488" s="3" t="s">
        <v>72</v>
      </c>
      <c r="N488" s="2" t="s">
        <v>909</v>
      </c>
      <c r="O488" s="2">
        <v>0</v>
      </c>
      <c r="P488" s="2"/>
      <c r="Q488" s="3" t="b">
        <f t="shared" si="260"/>
        <v>1</v>
      </c>
      <c r="R488" s="2" t="b">
        <f t="shared" si="261"/>
        <v>1</v>
      </c>
      <c r="S488" s="2" t="b">
        <f t="shared" si="262"/>
        <v>1</v>
      </c>
    </row>
    <row r="489" spans="1:19" x14ac:dyDescent="0.15">
      <c r="D489" t="s">
        <v>47</v>
      </c>
      <c r="E489" s="9" t="s">
        <v>70</v>
      </c>
      <c r="F489" s="14" t="s">
        <v>61</v>
      </c>
      <c r="G489">
        <v>10</v>
      </c>
      <c r="H489" s="7">
        <v>0</v>
      </c>
      <c r="I489" s="1" t="str">
        <f t="shared" si="257"/>
        <v>00000000000100</v>
      </c>
      <c r="J489" t="str">
        <f t="shared" si="258"/>
        <v>00000000000000</v>
      </c>
      <c r="K489">
        <f t="shared" si="259"/>
        <v>0</v>
      </c>
      <c r="M489" s="1" t="s">
        <v>73</v>
      </c>
      <c r="N489" t="s">
        <v>910</v>
      </c>
      <c r="O489">
        <v>0</v>
      </c>
      <c r="Q489" s="1" t="b">
        <f t="shared" si="260"/>
        <v>1</v>
      </c>
      <c r="R489" t="b">
        <f t="shared" si="261"/>
        <v>1</v>
      </c>
      <c r="S489" t="b">
        <f t="shared" si="262"/>
        <v>1</v>
      </c>
    </row>
    <row r="490" spans="1:19" x14ac:dyDescent="0.15">
      <c r="D490" t="s">
        <v>49</v>
      </c>
      <c r="E490" s="18" t="s">
        <v>71</v>
      </c>
      <c r="F490" s="19" t="s">
        <v>62</v>
      </c>
      <c r="G490">
        <v>16</v>
      </c>
      <c r="H490" s="7">
        <v>0</v>
      </c>
      <c r="I490" s="1" t="str">
        <f t="shared" si="257"/>
        <v>000000000100</v>
      </c>
      <c r="J490" t="str">
        <f t="shared" si="258"/>
        <v>000000000000</v>
      </c>
      <c r="K490">
        <f t="shared" si="259"/>
        <v>0</v>
      </c>
      <c r="M490" s="1" t="s">
        <v>74</v>
      </c>
      <c r="N490" t="s">
        <v>911</v>
      </c>
      <c r="O490">
        <v>0</v>
      </c>
      <c r="Q490" s="1" t="b">
        <f t="shared" si="260"/>
        <v>1</v>
      </c>
      <c r="R490" t="b">
        <f t="shared" si="261"/>
        <v>1</v>
      </c>
      <c r="S490" t="b">
        <f t="shared" si="262"/>
        <v>1</v>
      </c>
    </row>
    <row r="491" spans="1:19" x14ac:dyDescent="0.15">
      <c r="B491" s="22" t="s">
        <v>83</v>
      </c>
      <c r="C491" s="2" t="s">
        <v>86</v>
      </c>
      <c r="D491" s="2" t="s">
        <v>46</v>
      </c>
      <c r="E491" s="11" t="s">
        <v>110</v>
      </c>
      <c r="F491" s="13" t="s">
        <v>113</v>
      </c>
      <c r="G491" s="2">
        <v>2</v>
      </c>
      <c r="H491" s="2">
        <v>0</v>
      </c>
      <c r="I491" s="3" t="str">
        <f t="shared" ref="I491:I493" si="263">TESTdivide(E491,F491,G491,H491)</f>
        <v>0</v>
      </c>
      <c r="J491" s="2" t="str">
        <f t="shared" ref="J491:J493" si="264">TESTdivideByRef1(E491,F491,G491,H491)</f>
        <v>1</v>
      </c>
      <c r="K491" s="2">
        <f t="shared" ref="K491:K493" si="265">TESTdivideByRef2(E491,F491,G491,H491)</f>
        <v>0</v>
      </c>
      <c r="L491" s="2"/>
      <c r="M491" s="10">
        <v>0</v>
      </c>
      <c r="N491" s="2" t="s">
        <v>44</v>
      </c>
      <c r="O491" s="2">
        <v>0</v>
      </c>
      <c r="P491" s="2"/>
      <c r="Q491" s="3" t="b">
        <f t="shared" ref="Q491:Q493" si="266">getText(I491)=getText(M491)</f>
        <v>1</v>
      </c>
      <c r="R491" s="2" t="b">
        <f t="shared" ref="R491:R493" si="267">getText(J491)=getText(N491)</f>
        <v>1</v>
      </c>
      <c r="S491" s="2" t="b">
        <f t="shared" ref="S491:S493" si="268">getText(K491)=getText(O491)</f>
        <v>1</v>
      </c>
    </row>
    <row r="492" spans="1:19" x14ac:dyDescent="0.15">
      <c r="B492" s="23"/>
      <c r="D492" t="s">
        <v>47</v>
      </c>
      <c r="E492" s="9" t="s">
        <v>111</v>
      </c>
      <c r="F492" s="14" t="s">
        <v>15</v>
      </c>
      <c r="G492">
        <v>10</v>
      </c>
      <c r="H492" s="7">
        <v>0</v>
      </c>
      <c r="I492" s="1" t="str">
        <f t="shared" si="263"/>
        <v>0</v>
      </c>
      <c r="J492" t="str">
        <f t="shared" si="264"/>
        <v>1</v>
      </c>
      <c r="K492">
        <f t="shared" si="265"/>
        <v>0</v>
      </c>
      <c r="M492" s="12">
        <v>0</v>
      </c>
      <c r="N492" t="s">
        <v>44</v>
      </c>
      <c r="O492">
        <v>0</v>
      </c>
      <c r="Q492" s="1" t="b">
        <f t="shared" si="266"/>
        <v>1</v>
      </c>
      <c r="R492" t="b">
        <f t="shared" si="267"/>
        <v>1</v>
      </c>
      <c r="S492" t="b">
        <f t="shared" si="268"/>
        <v>1</v>
      </c>
    </row>
    <row r="493" spans="1:19" x14ac:dyDescent="0.15">
      <c r="D493" t="s">
        <v>49</v>
      </c>
      <c r="E493" s="9" t="s">
        <v>111</v>
      </c>
      <c r="F493" s="14" t="s">
        <v>15</v>
      </c>
      <c r="G493">
        <v>16</v>
      </c>
      <c r="H493" s="7">
        <v>0</v>
      </c>
      <c r="I493" s="1" t="str">
        <f t="shared" si="263"/>
        <v>0</v>
      </c>
      <c r="J493" t="str">
        <f t="shared" si="264"/>
        <v>1</v>
      </c>
      <c r="K493">
        <f t="shared" si="265"/>
        <v>0</v>
      </c>
      <c r="M493" s="12">
        <v>0</v>
      </c>
      <c r="N493" t="s">
        <v>44</v>
      </c>
      <c r="O493">
        <v>0</v>
      </c>
      <c r="Q493" s="1" t="b">
        <f t="shared" si="266"/>
        <v>1</v>
      </c>
      <c r="R493" t="b">
        <f t="shared" si="267"/>
        <v>1</v>
      </c>
      <c r="S493" t="b">
        <f t="shared" si="268"/>
        <v>1</v>
      </c>
    </row>
    <row r="494" spans="1:19" x14ac:dyDescent="0.15">
      <c r="C494" s="2" t="s">
        <v>96</v>
      </c>
      <c r="D494" s="2" t="s">
        <v>47</v>
      </c>
      <c r="E494" s="11" t="s">
        <v>112</v>
      </c>
      <c r="F494" s="13" t="s">
        <v>15</v>
      </c>
      <c r="G494" s="2">
        <v>10</v>
      </c>
      <c r="H494" s="24">
        <v>0</v>
      </c>
      <c r="I494" s="3" t="str">
        <f t="shared" ref="I494:I495" si="269">TESTdivide(E494,F494,G494,H494)</f>
        <v>0</v>
      </c>
      <c r="J494" s="2" t="str">
        <f t="shared" ref="J494:J495" si="270">TESTdivideByRef1(E494,F494,G494,H494)</f>
        <v>9</v>
      </c>
      <c r="K494" s="2">
        <f t="shared" ref="K494:K495" si="271">TESTdivideByRef2(E494,F494,G494,H494)</f>
        <v>0</v>
      </c>
      <c r="L494" s="2"/>
      <c r="M494" s="10">
        <v>0</v>
      </c>
      <c r="N494" s="2" t="s">
        <v>100</v>
      </c>
      <c r="O494" s="2">
        <v>0</v>
      </c>
      <c r="P494" s="2"/>
      <c r="Q494" s="3" t="b">
        <f t="shared" ref="Q494:Q495" si="272">getText(I494)=getText(M494)</f>
        <v>1</v>
      </c>
      <c r="R494" s="2" t="b">
        <f t="shared" ref="R494:R495" si="273">getText(J494)=getText(N494)</f>
        <v>1</v>
      </c>
      <c r="S494" s="2" t="b">
        <f t="shared" ref="S494:S495" si="274">getText(K494)=getText(O494)</f>
        <v>1</v>
      </c>
    </row>
    <row r="495" spans="1:19" x14ac:dyDescent="0.15">
      <c r="D495" t="s">
        <v>49</v>
      </c>
      <c r="E495" s="9" t="s">
        <v>99</v>
      </c>
      <c r="F495" s="14" t="s">
        <v>15</v>
      </c>
      <c r="G495">
        <v>16</v>
      </c>
      <c r="H495" s="7">
        <v>0</v>
      </c>
      <c r="I495" s="1" t="str">
        <f t="shared" si="269"/>
        <v>0</v>
      </c>
      <c r="J495" t="str">
        <f t="shared" si="270"/>
        <v>F</v>
      </c>
      <c r="K495">
        <f t="shared" si="271"/>
        <v>0</v>
      </c>
      <c r="M495" s="12" t="s">
        <v>14</v>
      </c>
      <c r="N495" t="s">
        <v>98</v>
      </c>
      <c r="O495">
        <v>0</v>
      </c>
      <c r="Q495" s="1" t="b">
        <f t="shared" si="272"/>
        <v>1</v>
      </c>
      <c r="R495" t="b">
        <f t="shared" si="273"/>
        <v>1</v>
      </c>
      <c r="S495" t="b">
        <f t="shared" si="274"/>
        <v>1</v>
      </c>
    </row>
    <row r="496" spans="1:19" x14ac:dyDescent="0.15">
      <c r="A496" s="23"/>
      <c r="B496" s="22" t="s">
        <v>84</v>
      </c>
      <c r="C496" s="2" t="s">
        <v>85</v>
      </c>
      <c r="D496" s="2" t="s">
        <v>46</v>
      </c>
      <c r="E496" s="11" t="s">
        <v>113</v>
      </c>
      <c r="F496" s="13" t="s">
        <v>15</v>
      </c>
      <c r="G496" s="2">
        <v>2</v>
      </c>
      <c r="H496" s="2">
        <v>0</v>
      </c>
      <c r="I496" s="3" t="str">
        <f t="shared" ref="I496:I498" si="275">TESTdivide(E496,F496,G496,H496)</f>
        <v>01</v>
      </c>
      <c r="J496" s="2" t="str">
        <f t="shared" ref="J496:J498" si="276">TESTdivideByRef1(E496,F496,G496,H496)</f>
        <v>00</v>
      </c>
      <c r="K496" s="2">
        <f t="shared" ref="K496:K498" si="277">TESTdivideByRef2(E496,F496,G496,H496)</f>
        <v>0</v>
      </c>
      <c r="L496" s="2"/>
      <c r="M496" s="10" t="s">
        <v>117</v>
      </c>
      <c r="N496" s="2" t="s">
        <v>97</v>
      </c>
      <c r="O496" s="2">
        <v>0</v>
      </c>
      <c r="P496" s="2"/>
      <c r="Q496" s="3" t="b">
        <f t="shared" ref="Q496:Q498" si="278">getText(I496)=getText(M496)</f>
        <v>1</v>
      </c>
      <c r="R496" s="2" t="b">
        <f t="shared" ref="R496:R498" si="279">getText(J496)=getText(N496)</f>
        <v>1</v>
      </c>
      <c r="S496" s="2" t="b">
        <f t="shared" ref="S496:S498" si="280">getText(K496)=getText(O496)</f>
        <v>1</v>
      </c>
    </row>
    <row r="497" spans="1:19" x14ac:dyDescent="0.15">
      <c r="B497" s="23"/>
      <c r="D497" t="s">
        <v>47</v>
      </c>
      <c r="E497" s="9" t="s">
        <v>113</v>
      </c>
      <c r="F497" s="14" t="s">
        <v>15</v>
      </c>
      <c r="G497">
        <v>10</v>
      </c>
      <c r="H497" s="7">
        <v>0</v>
      </c>
      <c r="I497" s="1" t="str">
        <f t="shared" si="275"/>
        <v>01</v>
      </c>
      <c r="J497" t="str">
        <f t="shared" si="276"/>
        <v>00</v>
      </c>
      <c r="K497">
        <f t="shared" si="277"/>
        <v>0</v>
      </c>
      <c r="M497" s="12" t="s">
        <v>117</v>
      </c>
      <c r="N497" t="s">
        <v>97</v>
      </c>
      <c r="O497">
        <v>0</v>
      </c>
      <c r="Q497" s="1" t="b">
        <f t="shared" si="278"/>
        <v>1</v>
      </c>
      <c r="R497" t="b">
        <f t="shared" si="279"/>
        <v>1</v>
      </c>
      <c r="S497" t="b">
        <f t="shared" si="280"/>
        <v>1</v>
      </c>
    </row>
    <row r="498" spans="1:19" x14ac:dyDescent="0.15">
      <c r="B498" s="23"/>
      <c r="D498" t="s">
        <v>49</v>
      </c>
      <c r="E498" s="9" t="s">
        <v>113</v>
      </c>
      <c r="F498" s="14" t="s">
        <v>15</v>
      </c>
      <c r="G498">
        <v>16</v>
      </c>
      <c r="H498" s="7">
        <v>0</v>
      </c>
      <c r="I498" s="1" t="str">
        <f t="shared" si="275"/>
        <v>01</v>
      </c>
      <c r="J498" t="str">
        <f t="shared" si="276"/>
        <v>00</v>
      </c>
      <c r="K498">
        <f t="shared" si="277"/>
        <v>0</v>
      </c>
      <c r="M498" s="12" t="s">
        <v>117</v>
      </c>
      <c r="N498" t="s">
        <v>97</v>
      </c>
      <c r="O498">
        <v>0</v>
      </c>
      <c r="Q498" s="1" t="b">
        <f t="shared" si="278"/>
        <v>1</v>
      </c>
      <c r="R498" t="b">
        <f t="shared" si="279"/>
        <v>1</v>
      </c>
      <c r="S498" t="b">
        <f t="shared" si="280"/>
        <v>1</v>
      </c>
    </row>
    <row r="499" spans="1:19" x14ac:dyDescent="0.15">
      <c r="B499" s="23"/>
      <c r="C499" s="2" t="s">
        <v>86</v>
      </c>
      <c r="D499" s="2" t="s">
        <v>46</v>
      </c>
      <c r="E499" s="11" t="s">
        <v>114</v>
      </c>
      <c r="F499" s="13" t="s">
        <v>15</v>
      </c>
      <c r="G499" s="2">
        <v>2</v>
      </c>
      <c r="H499" s="2">
        <v>0</v>
      </c>
      <c r="I499" s="3" t="str">
        <f t="shared" ref="I499:I501" si="281">TESTdivide(E499,F499,G499,H499)</f>
        <v>01</v>
      </c>
      <c r="J499" s="2" t="str">
        <f t="shared" ref="J499:J501" si="282">TESTdivideByRef1(E499,F499,G499,H499)</f>
        <v>01</v>
      </c>
      <c r="K499" s="2">
        <f t="shared" ref="K499:K501" si="283">TESTdivideByRef2(E499,F499,G499,H499)</f>
        <v>0</v>
      </c>
      <c r="L499" s="2"/>
      <c r="M499" s="10" t="s">
        <v>118</v>
      </c>
      <c r="N499" s="2" t="s">
        <v>231</v>
      </c>
      <c r="O499" s="2">
        <v>0</v>
      </c>
      <c r="P499" s="2"/>
      <c r="Q499" s="3" t="b">
        <f t="shared" ref="Q499:Q501" si="284">getText(I499)=getText(M499)</f>
        <v>1</v>
      </c>
      <c r="R499" s="2" t="b">
        <f t="shared" ref="R499:R501" si="285">getText(J499)=getText(N499)</f>
        <v>1</v>
      </c>
      <c r="S499" s="2" t="b">
        <f t="shared" ref="S499:S501" si="286">getText(K499)=getText(O499)</f>
        <v>1</v>
      </c>
    </row>
    <row r="500" spans="1:19" x14ac:dyDescent="0.15">
      <c r="B500" s="23"/>
      <c r="D500" t="s">
        <v>47</v>
      </c>
      <c r="E500" s="9" t="s">
        <v>114</v>
      </c>
      <c r="F500" s="14" t="s">
        <v>15</v>
      </c>
      <c r="G500">
        <v>10</v>
      </c>
      <c r="H500" s="7">
        <v>0</v>
      </c>
      <c r="I500" s="1" t="str">
        <f t="shared" si="281"/>
        <v>01</v>
      </c>
      <c r="J500" t="str">
        <f t="shared" si="282"/>
        <v>01</v>
      </c>
      <c r="K500">
        <f t="shared" si="283"/>
        <v>0</v>
      </c>
      <c r="M500" s="12" t="s">
        <v>118</v>
      </c>
      <c r="N500" t="s">
        <v>231</v>
      </c>
      <c r="O500">
        <v>0</v>
      </c>
      <c r="Q500" s="1" t="b">
        <f t="shared" si="284"/>
        <v>1</v>
      </c>
      <c r="R500" t="b">
        <f t="shared" si="285"/>
        <v>1</v>
      </c>
      <c r="S500" t="b">
        <f t="shared" si="286"/>
        <v>1</v>
      </c>
    </row>
    <row r="501" spans="1:19" x14ac:dyDescent="0.15">
      <c r="D501" t="s">
        <v>49</v>
      </c>
      <c r="E501" s="9" t="s">
        <v>114</v>
      </c>
      <c r="F501" s="14" t="s">
        <v>15</v>
      </c>
      <c r="G501">
        <v>16</v>
      </c>
      <c r="H501" s="7">
        <v>0</v>
      </c>
      <c r="I501" s="1" t="str">
        <f t="shared" si="281"/>
        <v>01</v>
      </c>
      <c r="J501" t="str">
        <f t="shared" si="282"/>
        <v>01</v>
      </c>
      <c r="K501">
        <f t="shared" si="283"/>
        <v>0</v>
      </c>
      <c r="M501" s="12" t="s">
        <v>118</v>
      </c>
      <c r="N501" t="s">
        <v>231</v>
      </c>
      <c r="O501">
        <v>0</v>
      </c>
      <c r="Q501" s="1" t="b">
        <f t="shared" si="284"/>
        <v>1</v>
      </c>
      <c r="R501" t="b">
        <f t="shared" si="285"/>
        <v>1</v>
      </c>
      <c r="S501" t="b">
        <f t="shared" si="286"/>
        <v>1</v>
      </c>
    </row>
    <row r="502" spans="1:19" x14ac:dyDescent="0.15">
      <c r="C502" s="2" t="s">
        <v>96</v>
      </c>
      <c r="D502" s="2" t="s">
        <v>47</v>
      </c>
      <c r="E502" s="11" t="s">
        <v>115</v>
      </c>
      <c r="F502" s="13" t="s">
        <v>15</v>
      </c>
      <c r="G502" s="2">
        <v>10</v>
      </c>
      <c r="H502" s="24">
        <v>0</v>
      </c>
      <c r="I502" s="3" t="str">
        <f t="shared" ref="I502:I503" si="287">TESTdivide(E502,F502,G502,H502)</f>
        <v>01</v>
      </c>
      <c r="J502" s="2" t="str">
        <f t="shared" ref="J502:J503" si="288">TESTdivideByRef1(E502,F502,G502,H502)</f>
        <v>09</v>
      </c>
      <c r="K502" s="2">
        <f t="shared" ref="K502:K503" si="289">TESTdivideByRef2(E502,F502,G502,H502)</f>
        <v>0</v>
      </c>
      <c r="L502" s="2"/>
      <c r="M502" s="10" t="s">
        <v>118</v>
      </c>
      <c r="N502" s="2" t="s">
        <v>233</v>
      </c>
      <c r="O502" s="2">
        <v>0</v>
      </c>
      <c r="P502" s="2"/>
      <c r="Q502" s="3" t="b">
        <f t="shared" ref="Q502:Q503" si="290">getText(I502)=getText(M502)</f>
        <v>1</v>
      </c>
      <c r="R502" s="2" t="b">
        <f t="shared" ref="R502:R503" si="291">getText(J502)=getText(N502)</f>
        <v>1</v>
      </c>
      <c r="S502" s="2" t="b">
        <f t="shared" ref="S502:S503" si="292">getText(K502)=getText(O502)</f>
        <v>1</v>
      </c>
    </row>
    <row r="503" spans="1:19" x14ac:dyDescent="0.15">
      <c r="D503" t="s">
        <v>49</v>
      </c>
      <c r="E503" s="9" t="s">
        <v>116</v>
      </c>
      <c r="F503" s="14" t="s">
        <v>15</v>
      </c>
      <c r="G503">
        <v>16</v>
      </c>
      <c r="H503" s="7">
        <v>0</v>
      </c>
      <c r="I503" s="1" t="str">
        <f t="shared" si="287"/>
        <v>01</v>
      </c>
      <c r="J503" t="str">
        <f t="shared" si="288"/>
        <v>0F</v>
      </c>
      <c r="K503">
        <f t="shared" si="289"/>
        <v>0</v>
      </c>
      <c r="M503" s="12" t="s">
        <v>118</v>
      </c>
      <c r="N503" t="s">
        <v>236</v>
      </c>
      <c r="O503">
        <v>0</v>
      </c>
      <c r="Q503" s="1" t="b">
        <f t="shared" si="290"/>
        <v>1</v>
      </c>
      <c r="R503" t="b">
        <f t="shared" si="291"/>
        <v>1</v>
      </c>
      <c r="S503" t="b">
        <f t="shared" si="292"/>
        <v>1</v>
      </c>
    </row>
    <row r="504" spans="1:19" x14ac:dyDescent="0.15">
      <c r="B504" s="22" t="s">
        <v>87</v>
      </c>
      <c r="C504" s="2" t="s">
        <v>85</v>
      </c>
      <c r="D504" s="2" t="s">
        <v>46</v>
      </c>
      <c r="E504" s="11" t="s">
        <v>113</v>
      </c>
      <c r="F504" s="13" t="s">
        <v>15</v>
      </c>
      <c r="G504" s="2">
        <v>2</v>
      </c>
      <c r="H504" s="2">
        <v>0</v>
      </c>
      <c r="I504" s="3" t="str">
        <f t="shared" ref="I504:I506" si="293">TESTdivide(E504,F504,G504,H504)</f>
        <v>01</v>
      </c>
      <c r="J504" s="2" t="str">
        <f t="shared" ref="J504:J506" si="294">TESTdivideByRef1(E504,F504,G504,H504)</f>
        <v>00</v>
      </c>
      <c r="K504" s="2">
        <f t="shared" ref="K504:K506" si="295">TESTdivideByRef2(E504,F504,G504,H504)</f>
        <v>0</v>
      </c>
      <c r="L504" s="2"/>
      <c r="M504" s="20" t="s">
        <v>117</v>
      </c>
      <c r="N504" s="25" t="s">
        <v>97</v>
      </c>
      <c r="O504" s="2">
        <v>0</v>
      </c>
      <c r="P504" s="2"/>
      <c r="Q504" s="3" t="b">
        <f t="shared" ref="Q504:Q505" si="296">getText(I504)=getText(M504)</f>
        <v>1</v>
      </c>
      <c r="R504" s="2" t="b">
        <f t="shared" ref="R504:R505" si="297">getText(J504)=getText(N504)</f>
        <v>1</v>
      </c>
      <c r="S504" s="2" t="b">
        <f t="shared" ref="S504:S505" si="298">getText(K504)=getText(O504)</f>
        <v>1</v>
      </c>
    </row>
    <row r="505" spans="1:19" x14ac:dyDescent="0.15">
      <c r="B505" s="23"/>
      <c r="D505" t="s">
        <v>47</v>
      </c>
      <c r="E505" s="9" t="s">
        <v>120</v>
      </c>
      <c r="F505" s="14" t="s">
        <v>15</v>
      </c>
      <c r="G505">
        <v>10</v>
      </c>
      <c r="H505" s="7">
        <v>0</v>
      </c>
      <c r="I505" s="1" t="str">
        <f t="shared" si="293"/>
        <v>09</v>
      </c>
      <c r="J505" t="str">
        <f t="shared" si="294"/>
        <v>00</v>
      </c>
      <c r="K505">
        <f t="shared" si="295"/>
        <v>0</v>
      </c>
      <c r="M505" s="21" t="s">
        <v>122</v>
      </c>
      <c r="N505" s="26" t="s">
        <v>97</v>
      </c>
      <c r="O505">
        <v>0</v>
      </c>
      <c r="Q505" s="1" t="b">
        <f t="shared" si="296"/>
        <v>1</v>
      </c>
      <c r="R505" t="b">
        <f t="shared" si="297"/>
        <v>1</v>
      </c>
      <c r="S505" t="b">
        <f t="shared" si="298"/>
        <v>1</v>
      </c>
    </row>
    <row r="506" spans="1:19" x14ac:dyDescent="0.15">
      <c r="B506" s="23"/>
      <c r="D506" t="s">
        <v>49</v>
      </c>
      <c r="E506" s="9" t="s">
        <v>121</v>
      </c>
      <c r="F506" s="14" t="s">
        <v>15</v>
      </c>
      <c r="G506">
        <v>16</v>
      </c>
      <c r="H506" s="7">
        <v>0</v>
      </c>
      <c r="I506" s="1" t="str">
        <f t="shared" si="293"/>
        <v>0F</v>
      </c>
      <c r="J506" t="str">
        <f t="shared" si="294"/>
        <v>00</v>
      </c>
      <c r="K506">
        <f t="shared" si="295"/>
        <v>0</v>
      </c>
      <c r="M506" s="21" t="s">
        <v>123</v>
      </c>
      <c r="N506" s="26" t="s">
        <v>97</v>
      </c>
      <c r="O506">
        <v>0</v>
      </c>
      <c r="Q506" s="1" t="b">
        <f t="shared" ref="Q506:Q508" si="299">getText(I506)=getText(M506)</f>
        <v>1</v>
      </c>
      <c r="R506" t="b">
        <f t="shared" ref="R506:R508" si="300">getText(J506)=getText(N506)</f>
        <v>1</v>
      </c>
      <c r="S506" t="b">
        <f t="shared" ref="S506:S508" si="301">getText(K506)=getText(O506)</f>
        <v>1</v>
      </c>
    </row>
    <row r="507" spans="1:19" x14ac:dyDescent="0.15">
      <c r="B507" s="23"/>
      <c r="C507" s="2" t="s">
        <v>86</v>
      </c>
      <c r="D507" s="2" t="s">
        <v>46</v>
      </c>
      <c r="E507" s="11" t="s">
        <v>114</v>
      </c>
      <c r="F507" s="13" t="s">
        <v>15</v>
      </c>
      <c r="G507" s="2">
        <v>2</v>
      </c>
      <c r="H507" s="2">
        <v>0</v>
      </c>
      <c r="I507" s="3" t="str">
        <f t="shared" ref="I507:I508" si="302">TESTdivide(E507,F507,G507,H507)</f>
        <v>01</v>
      </c>
      <c r="J507" s="2" t="str">
        <f t="shared" ref="J507:J508" si="303">TESTdivideByRef1(E507,F507,G507,H507)</f>
        <v>01</v>
      </c>
      <c r="K507" s="2">
        <f t="shared" ref="K507:K508" si="304">TESTdivideByRef2(E507,F507,G507,H507)</f>
        <v>0</v>
      </c>
      <c r="L507" s="2"/>
      <c r="M507" s="20" t="s">
        <v>117</v>
      </c>
      <c r="N507" s="25" t="s">
        <v>231</v>
      </c>
      <c r="O507" s="2">
        <v>0</v>
      </c>
      <c r="P507" s="2"/>
      <c r="Q507" s="3" t="b">
        <f t="shared" si="299"/>
        <v>1</v>
      </c>
      <c r="R507" s="2" t="b">
        <f t="shared" si="300"/>
        <v>1</v>
      </c>
      <c r="S507" s="2" t="b">
        <f t="shared" si="301"/>
        <v>1</v>
      </c>
    </row>
    <row r="508" spans="1:19" x14ac:dyDescent="0.15">
      <c r="B508" s="23"/>
      <c r="D508" t="s">
        <v>47</v>
      </c>
      <c r="E508" s="9" t="s">
        <v>124</v>
      </c>
      <c r="F508" s="14" t="s">
        <v>15</v>
      </c>
      <c r="G508">
        <v>10</v>
      </c>
      <c r="H508" s="7">
        <v>0</v>
      </c>
      <c r="I508" s="1" t="str">
        <f t="shared" si="302"/>
        <v>09</v>
      </c>
      <c r="J508" t="str">
        <f t="shared" si="303"/>
        <v>01</v>
      </c>
      <c r="K508">
        <f t="shared" si="304"/>
        <v>0</v>
      </c>
      <c r="M508" s="21" t="s">
        <v>122</v>
      </c>
      <c r="N508" s="26" t="s">
        <v>231</v>
      </c>
      <c r="O508">
        <v>0</v>
      </c>
      <c r="Q508" s="1" t="b">
        <f t="shared" si="299"/>
        <v>1</v>
      </c>
      <c r="R508" t="b">
        <f t="shared" si="300"/>
        <v>1</v>
      </c>
      <c r="S508" t="b">
        <f t="shared" si="301"/>
        <v>1</v>
      </c>
    </row>
    <row r="509" spans="1:19" x14ac:dyDescent="0.15">
      <c r="D509" t="s">
        <v>49</v>
      </c>
      <c r="E509" s="9" t="s">
        <v>125</v>
      </c>
      <c r="F509" s="14" t="s">
        <v>15</v>
      </c>
      <c r="G509">
        <v>16</v>
      </c>
      <c r="H509" s="7">
        <v>0</v>
      </c>
      <c r="I509" s="1" t="str">
        <f t="shared" ref="I509:I511" si="305">TESTdivide(E509,F509,G509,H509)</f>
        <v>0F</v>
      </c>
      <c r="J509" t="str">
        <f t="shared" ref="J509:J511" si="306">TESTdivideByRef1(E509,F509,G509,H509)</f>
        <v>01</v>
      </c>
      <c r="K509">
        <f t="shared" ref="K509:K511" si="307">TESTdivideByRef2(E509,F509,G509,H509)</f>
        <v>0</v>
      </c>
      <c r="M509" s="21" t="s">
        <v>123</v>
      </c>
      <c r="N509" s="26" t="s">
        <v>231</v>
      </c>
      <c r="O509">
        <v>0</v>
      </c>
      <c r="Q509" s="1" t="b">
        <f t="shared" ref="Q509:Q511" si="308">getText(I509)=getText(M509)</f>
        <v>1</v>
      </c>
      <c r="R509" t="b">
        <f t="shared" ref="R509:R511" si="309">getText(J509)=getText(N509)</f>
        <v>1</v>
      </c>
      <c r="S509" t="b">
        <f t="shared" ref="S509:S511" si="310">getText(K509)=getText(O509)</f>
        <v>1</v>
      </c>
    </row>
    <row r="510" spans="1:19" x14ac:dyDescent="0.15">
      <c r="A510" s="23"/>
      <c r="C510" s="2" t="s">
        <v>96</v>
      </c>
      <c r="D510" s="2" t="s">
        <v>47</v>
      </c>
      <c r="E510" s="11" t="s">
        <v>126</v>
      </c>
      <c r="F510" s="13" t="s">
        <v>15</v>
      </c>
      <c r="G510" s="2">
        <v>10</v>
      </c>
      <c r="H510" s="24">
        <v>0</v>
      </c>
      <c r="I510" s="3" t="str">
        <f t="shared" si="305"/>
        <v>09</v>
      </c>
      <c r="J510" s="2" t="str">
        <f t="shared" si="306"/>
        <v>09</v>
      </c>
      <c r="K510" s="2">
        <f t="shared" si="307"/>
        <v>0</v>
      </c>
      <c r="L510" s="2"/>
      <c r="M510" s="20" t="s">
        <v>122</v>
      </c>
      <c r="N510" s="25" t="s">
        <v>233</v>
      </c>
      <c r="O510" s="2">
        <v>0</v>
      </c>
      <c r="P510" s="2"/>
      <c r="Q510" s="3" t="b">
        <f t="shared" si="308"/>
        <v>1</v>
      </c>
      <c r="R510" s="2" t="b">
        <f t="shared" si="309"/>
        <v>1</v>
      </c>
      <c r="S510" s="2" t="b">
        <f t="shared" si="310"/>
        <v>1</v>
      </c>
    </row>
    <row r="511" spans="1:19" x14ac:dyDescent="0.15">
      <c r="D511" t="s">
        <v>49</v>
      </c>
      <c r="E511" s="9" t="s">
        <v>127</v>
      </c>
      <c r="F511" s="14" t="s">
        <v>15</v>
      </c>
      <c r="G511">
        <v>16</v>
      </c>
      <c r="H511" s="7">
        <v>0</v>
      </c>
      <c r="I511" s="1" t="str">
        <f t="shared" si="305"/>
        <v>0F</v>
      </c>
      <c r="J511" t="str">
        <f t="shared" si="306"/>
        <v>0F</v>
      </c>
      <c r="K511">
        <f t="shared" si="307"/>
        <v>0</v>
      </c>
      <c r="M511" s="21" t="s">
        <v>123</v>
      </c>
      <c r="N511" s="26" t="s">
        <v>236</v>
      </c>
      <c r="O511">
        <v>0</v>
      </c>
      <c r="Q511" s="1" t="b">
        <f t="shared" si="308"/>
        <v>1</v>
      </c>
      <c r="R511" t="b">
        <f t="shared" si="309"/>
        <v>1</v>
      </c>
      <c r="S511" t="b">
        <f t="shared" si="310"/>
        <v>1</v>
      </c>
    </row>
    <row r="512" spans="1:19" x14ac:dyDescent="0.15">
      <c r="B512" s="22" t="s">
        <v>88</v>
      </c>
      <c r="C512" s="2" t="s">
        <v>85</v>
      </c>
      <c r="D512" s="2" t="s">
        <v>46</v>
      </c>
      <c r="E512" s="11" t="s">
        <v>128</v>
      </c>
      <c r="F512" s="13" t="s">
        <v>15</v>
      </c>
      <c r="G512" s="2">
        <v>2</v>
      </c>
      <c r="H512" s="2">
        <v>0</v>
      </c>
      <c r="I512" s="3" t="str">
        <f t="shared" ref="I512:I514" si="311">TESTdivide(E512,F512,G512,H512)</f>
        <v>010</v>
      </c>
      <c r="J512" s="2" t="str">
        <f t="shared" ref="J512:J514" si="312">TESTdivideByRef1(E512,F512,G512,H512)</f>
        <v>000</v>
      </c>
      <c r="K512" s="2">
        <f t="shared" ref="K512:K514" si="313">TESTdivideByRef2(E512,F512,G512,H512)</f>
        <v>0</v>
      </c>
      <c r="L512" s="2"/>
      <c r="M512" s="20" t="s">
        <v>78</v>
      </c>
      <c r="N512" s="25" t="s">
        <v>912</v>
      </c>
      <c r="O512" s="2">
        <v>0</v>
      </c>
      <c r="P512" s="2"/>
      <c r="Q512" s="3" t="b">
        <f t="shared" ref="Q512:Q514" si="314">getText(I512)=getText(M512)</f>
        <v>1</v>
      </c>
      <c r="R512" s="2" t="b">
        <f t="shared" ref="R512:R514" si="315">getText(J512)=getText(N512)</f>
        <v>1</v>
      </c>
      <c r="S512" s="2" t="b">
        <f t="shared" ref="S512:S514" si="316">getText(K512)=getText(O512)</f>
        <v>1</v>
      </c>
    </row>
    <row r="513" spans="2:19" x14ac:dyDescent="0.15">
      <c r="B513" s="23"/>
      <c r="D513" t="s">
        <v>47</v>
      </c>
      <c r="E513" s="9" t="s">
        <v>128</v>
      </c>
      <c r="F513" s="14" t="s">
        <v>15</v>
      </c>
      <c r="G513">
        <v>10</v>
      </c>
      <c r="H513" s="7">
        <v>0</v>
      </c>
      <c r="I513" s="1" t="str">
        <f t="shared" si="311"/>
        <v>010</v>
      </c>
      <c r="J513" t="str">
        <f t="shared" si="312"/>
        <v>000</v>
      </c>
      <c r="K513">
        <f t="shared" si="313"/>
        <v>0</v>
      </c>
      <c r="M513" s="21" t="s">
        <v>78</v>
      </c>
      <c r="N513" s="26" t="s">
        <v>912</v>
      </c>
      <c r="O513" s="7">
        <v>0</v>
      </c>
      <c r="P513" s="7"/>
      <c r="Q513" s="1" t="b">
        <f t="shared" si="314"/>
        <v>1</v>
      </c>
      <c r="R513" t="b">
        <f t="shared" si="315"/>
        <v>1</v>
      </c>
      <c r="S513" t="b">
        <f t="shared" si="316"/>
        <v>1</v>
      </c>
    </row>
    <row r="514" spans="2:19" x14ac:dyDescent="0.15">
      <c r="B514" s="23"/>
      <c r="D514" t="s">
        <v>49</v>
      </c>
      <c r="E514" s="9" t="s">
        <v>128</v>
      </c>
      <c r="F514" s="14" t="s">
        <v>15</v>
      </c>
      <c r="G514">
        <v>16</v>
      </c>
      <c r="H514" s="7">
        <v>0</v>
      </c>
      <c r="I514" s="1" t="str">
        <f t="shared" si="311"/>
        <v>010</v>
      </c>
      <c r="J514" t="str">
        <f t="shared" si="312"/>
        <v>000</v>
      </c>
      <c r="K514">
        <f t="shared" si="313"/>
        <v>0</v>
      </c>
      <c r="M514" s="21" t="s">
        <v>78</v>
      </c>
      <c r="N514" s="26" t="s">
        <v>912</v>
      </c>
      <c r="O514" s="7">
        <v>0</v>
      </c>
      <c r="P514" s="7"/>
      <c r="Q514" s="1" t="b">
        <f t="shared" si="314"/>
        <v>1</v>
      </c>
      <c r="R514" t="b">
        <f t="shared" si="315"/>
        <v>1</v>
      </c>
      <c r="S514" t="b">
        <f t="shared" si="316"/>
        <v>1</v>
      </c>
    </row>
    <row r="515" spans="2:19" x14ac:dyDescent="0.15">
      <c r="B515" s="23"/>
      <c r="C515" s="2" t="s">
        <v>86</v>
      </c>
      <c r="D515" s="2" t="s">
        <v>46</v>
      </c>
      <c r="E515" s="11" t="s">
        <v>129</v>
      </c>
      <c r="F515" s="13" t="s">
        <v>15</v>
      </c>
      <c r="G515" s="2">
        <v>2</v>
      </c>
      <c r="H515" s="2">
        <v>0</v>
      </c>
      <c r="I515" s="3" t="str">
        <f t="shared" ref="I515:I519" si="317">TESTdivide(E515,F515,G515,H515)</f>
        <v>010</v>
      </c>
      <c r="J515" s="2" t="str">
        <f t="shared" ref="J515:J519" si="318">TESTdivideByRef1(E515,F515,G515,H515)</f>
        <v>001</v>
      </c>
      <c r="K515" s="2">
        <f t="shared" ref="K515:K519" si="319">TESTdivideByRef2(E515,F515,G515,H515)</f>
        <v>0</v>
      </c>
      <c r="L515" s="2"/>
      <c r="M515" s="20" t="s">
        <v>78</v>
      </c>
      <c r="N515" s="25" t="s">
        <v>81</v>
      </c>
      <c r="O515" s="2">
        <v>0</v>
      </c>
      <c r="P515" s="2"/>
      <c r="Q515" s="3" t="b">
        <f t="shared" ref="Q515:Q519" si="320">getText(I515)=getText(M515)</f>
        <v>1</v>
      </c>
      <c r="R515" s="2" t="b">
        <f t="shared" ref="R515:R519" si="321">getText(J515)=getText(N515)</f>
        <v>1</v>
      </c>
      <c r="S515" s="2" t="b">
        <f t="shared" ref="S515:S519" si="322">getText(K515)=getText(O515)</f>
        <v>1</v>
      </c>
    </row>
    <row r="516" spans="2:19" x14ac:dyDescent="0.15">
      <c r="B516" s="23"/>
      <c r="D516" t="s">
        <v>47</v>
      </c>
      <c r="E516" s="9" t="s">
        <v>132</v>
      </c>
      <c r="F516" s="14" t="s">
        <v>15</v>
      </c>
      <c r="G516">
        <v>10</v>
      </c>
      <c r="H516" s="7">
        <v>0</v>
      </c>
      <c r="I516" s="1" t="str">
        <f t="shared" si="317"/>
        <v>010</v>
      </c>
      <c r="J516" t="str">
        <f t="shared" si="318"/>
        <v>001</v>
      </c>
      <c r="K516">
        <f t="shared" si="319"/>
        <v>0</v>
      </c>
      <c r="M516" s="21" t="s">
        <v>78</v>
      </c>
      <c r="N516" s="26" t="s">
        <v>81</v>
      </c>
      <c r="O516">
        <v>0</v>
      </c>
      <c r="Q516" s="1" t="b">
        <f t="shared" si="320"/>
        <v>1</v>
      </c>
      <c r="R516" t="b">
        <f t="shared" si="321"/>
        <v>1</v>
      </c>
      <c r="S516" t="b">
        <f t="shared" si="322"/>
        <v>1</v>
      </c>
    </row>
    <row r="517" spans="2:19" x14ac:dyDescent="0.15">
      <c r="D517" t="s">
        <v>49</v>
      </c>
      <c r="E517" s="9" t="s">
        <v>129</v>
      </c>
      <c r="F517" s="14" t="s">
        <v>15</v>
      </c>
      <c r="G517">
        <v>16</v>
      </c>
      <c r="H517" s="7">
        <v>0</v>
      </c>
      <c r="I517" s="1" t="str">
        <f t="shared" si="317"/>
        <v>010</v>
      </c>
      <c r="J517" t="str">
        <f t="shared" si="318"/>
        <v>001</v>
      </c>
      <c r="K517">
        <f t="shared" si="319"/>
        <v>0</v>
      </c>
      <c r="M517" s="21" t="s">
        <v>78</v>
      </c>
      <c r="N517" s="26" t="s">
        <v>81</v>
      </c>
      <c r="O517">
        <v>0</v>
      </c>
      <c r="Q517" s="1" t="b">
        <f t="shared" si="320"/>
        <v>1</v>
      </c>
      <c r="R517" t="b">
        <f t="shared" si="321"/>
        <v>1</v>
      </c>
      <c r="S517" t="b">
        <f t="shared" si="322"/>
        <v>1</v>
      </c>
    </row>
    <row r="518" spans="2:19" x14ac:dyDescent="0.15">
      <c r="C518" s="2" t="s">
        <v>96</v>
      </c>
      <c r="D518" s="2" t="s">
        <v>47</v>
      </c>
      <c r="E518" s="11" t="s">
        <v>130</v>
      </c>
      <c r="F518" s="13" t="s">
        <v>15</v>
      </c>
      <c r="G518" s="2">
        <v>10</v>
      </c>
      <c r="H518" s="24">
        <v>0</v>
      </c>
      <c r="I518" s="3" t="str">
        <f t="shared" si="317"/>
        <v>010</v>
      </c>
      <c r="J518" s="2" t="str">
        <f t="shared" si="318"/>
        <v>009</v>
      </c>
      <c r="K518" s="2">
        <f t="shared" si="319"/>
        <v>0</v>
      </c>
      <c r="L518" s="2"/>
      <c r="M518" s="20" t="s">
        <v>78</v>
      </c>
      <c r="N518" s="25" t="s">
        <v>913</v>
      </c>
      <c r="O518" s="2">
        <v>0</v>
      </c>
      <c r="P518" s="2"/>
      <c r="Q518" s="3" t="b">
        <f t="shared" si="320"/>
        <v>1</v>
      </c>
      <c r="R518" s="2" t="b">
        <f t="shared" si="321"/>
        <v>1</v>
      </c>
      <c r="S518" s="2" t="b">
        <f t="shared" si="322"/>
        <v>1</v>
      </c>
    </row>
    <row r="519" spans="2:19" x14ac:dyDescent="0.15">
      <c r="D519" t="s">
        <v>49</v>
      </c>
      <c r="E519" s="9" t="s">
        <v>131</v>
      </c>
      <c r="F519" s="14" t="s">
        <v>15</v>
      </c>
      <c r="G519">
        <v>16</v>
      </c>
      <c r="H519" s="7">
        <v>0</v>
      </c>
      <c r="I519" s="1" t="str">
        <f t="shared" si="317"/>
        <v>010</v>
      </c>
      <c r="J519" t="str">
        <f t="shared" si="318"/>
        <v>00F</v>
      </c>
      <c r="K519">
        <f t="shared" si="319"/>
        <v>0</v>
      </c>
      <c r="M519" s="21" t="s">
        <v>78</v>
      </c>
      <c r="N519" s="26" t="s">
        <v>914</v>
      </c>
      <c r="O519">
        <v>0</v>
      </c>
      <c r="Q519" s="1" t="b">
        <f t="shared" si="320"/>
        <v>1</v>
      </c>
      <c r="R519" t="b">
        <f t="shared" si="321"/>
        <v>1</v>
      </c>
      <c r="S519" t="b">
        <f t="shared" si="322"/>
        <v>1</v>
      </c>
    </row>
    <row r="520" spans="2:19" x14ac:dyDescent="0.15">
      <c r="B520" s="22" t="s">
        <v>89</v>
      </c>
      <c r="C520" s="2" t="s">
        <v>85</v>
      </c>
      <c r="D520" s="2" t="s">
        <v>46</v>
      </c>
      <c r="E520" s="11" t="s">
        <v>133</v>
      </c>
      <c r="F520" s="13" t="s">
        <v>15</v>
      </c>
      <c r="G520" s="2">
        <v>2</v>
      </c>
      <c r="H520" s="2">
        <v>0</v>
      </c>
      <c r="I520" s="3" t="str">
        <f t="shared" ref="I520:I522" si="323">TESTdivide(E520,F520,G520,H520)</f>
        <v>011</v>
      </c>
      <c r="J520" s="2" t="str">
        <f t="shared" ref="J520:J522" si="324">TESTdivideByRef1(E520,F520,G520,H520)</f>
        <v>000</v>
      </c>
      <c r="K520" s="2">
        <f t="shared" ref="K520:K522" si="325">TESTdivideByRef2(E520,F520,G520,H520)</f>
        <v>0</v>
      </c>
      <c r="L520" s="2"/>
      <c r="M520" s="20" t="s">
        <v>134</v>
      </c>
      <c r="N520" s="25" t="s">
        <v>912</v>
      </c>
      <c r="O520" s="2">
        <v>0</v>
      </c>
      <c r="P520" s="2"/>
      <c r="Q520" s="3" t="b">
        <f t="shared" ref="Q520:Q522" si="326">getText(I520)=getText(M520)</f>
        <v>1</v>
      </c>
      <c r="R520" s="2" t="b">
        <f t="shared" ref="R520:R522" si="327">getText(J520)=getText(N520)</f>
        <v>1</v>
      </c>
      <c r="S520" s="2" t="b">
        <f t="shared" ref="S520:S522" si="328">getText(K520)=getText(O520)</f>
        <v>1</v>
      </c>
    </row>
    <row r="521" spans="2:19" x14ac:dyDescent="0.15">
      <c r="B521" s="23"/>
      <c r="D521" t="s">
        <v>47</v>
      </c>
      <c r="E521" s="9" t="s">
        <v>133</v>
      </c>
      <c r="F521" s="14" t="s">
        <v>15</v>
      </c>
      <c r="G521">
        <v>10</v>
      </c>
      <c r="H521" s="7">
        <v>0</v>
      </c>
      <c r="I521" s="1" t="str">
        <f t="shared" si="323"/>
        <v>011</v>
      </c>
      <c r="J521" t="str">
        <f t="shared" si="324"/>
        <v>000</v>
      </c>
      <c r="K521">
        <f t="shared" si="325"/>
        <v>0</v>
      </c>
      <c r="M521" s="21" t="s">
        <v>77</v>
      </c>
      <c r="N521" s="26" t="s">
        <v>912</v>
      </c>
      <c r="O521">
        <v>0</v>
      </c>
      <c r="Q521" s="1" t="b">
        <f t="shared" si="326"/>
        <v>1</v>
      </c>
      <c r="R521" t="b">
        <f t="shared" si="327"/>
        <v>1</v>
      </c>
      <c r="S521" t="b">
        <f t="shared" si="328"/>
        <v>1</v>
      </c>
    </row>
    <row r="522" spans="2:19" x14ac:dyDescent="0.15">
      <c r="B522" s="23"/>
      <c r="D522" t="s">
        <v>49</v>
      </c>
      <c r="E522" s="9" t="s">
        <v>133</v>
      </c>
      <c r="F522" s="14" t="s">
        <v>15</v>
      </c>
      <c r="G522">
        <v>16</v>
      </c>
      <c r="H522" s="7">
        <v>0</v>
      </c>
      <c r="I522" s="1" t="str">
        <f t="shared" si="323"/>
        <v>011</v>
      </c>
      <c r="J522" t="str">
        <f t="shared" si="324"/>
        <v>000</v>
      </c>
      <c r="K522">
        <f t="shared" si="325"/>
        <v>0</v>
      </c>
      <c r="M522" s="21" t="s">
        <v>77</v>
      </c>
      <c r="N522" s="26" t="s">
        <v>912</v>
      </c>
      <c r="O522">
        <v>0</v>
      </c>
      <c r="Q522" s="1" t="b">
        <f t="shared" si="326"/>
        <v>1</v>
      </c>
      <c r="R522" t="b">
        <f t="shared" si="327"/>
        <v>1</v>
      </c>
      <c r="S522" t="b">
        <f t="shared" si="328"/>
        <v>1</v>
      </c>
    </row>
    <row r="523" spans="2:19" x14ac:dyDescent="0.15">
      <c r="B523" s="23"/>
      <c r="C523" s="2" t="s">
        <v>86</v>
      </c>
      <c r="D523" s="2" t="s">
        <v>46</v>
      </c>
      <c r="E523" s="11" t="s">
        <v>135</v>
      </c>
      <c r="F523" s="13" t="s">
        <v>15</v>
      </c>
      <c r="G523" s="2">
        <v>2</v>
      </c>
      <c r="H523" s="2">
        <v>0</v>
      </c>
      <c r="I523" s="3" t="str">
        <f t="shared" ref="I523:I527" si="329">TESTdivide(E523,F523,G523,H523)</f>
        <v>011</v>
      </c>
      <c r="J523" s="2" t="str">
        <f t="shared" ref="J523:J527" si="330">TESTdivideByRef1(E523,F523,G523,H523)</f>
        <v>001</v>
      </c>
      <c r="K523" s="2">
        <f t="shared" ref="K523:K527" si="331">TESTdivideByRef2(E523,F523,G523,H523)</f>
        <v>0</v>
      </c>
      <c r="L523" s="2"/>
      <c r="M523" s="20" t="s">
        <v>77</v>
      </c>
      <c r="N523" s="25" t="s">
        <v>81</v>
      </c>
      <c r="O523" s="2">
        <v>0</v>
      </c>
      <c r="P523" s="2"/>
      <c r="Q523" s="3" t="b">
        <f t="shared" ref="Q523:Q525" si="332">getText(I523)=getText(M523)</f>
        <v>1</v>
      </c>
      <c r="R523" s="2" t="b">
        <f t="shared" ref="R523:R525" si="333">getText(J523)=getText(N523)</f>
        <v>1</v>
      </c>
      <c r="S523" s="2" t="b">
        <f t="shared" ref="S523:S525" si="334">getText(K523)=getText(O523)</f>
        <v>1</v>
      </c>
    </row>
    <row r="524" spans="2:19" x14ac:dyDescent="0.15">
      <c r="B524" s="23"/>
      <c r="D524" t="s">
        <v>47</v>
      </c>
      <c r="E524" s="9" t="s">
        <v>31</v>
      </c>
      <c r="F524" s="14" t="s">
        <v>15</v>
      </c>
      <c r="G524">
        <v>10</v>
      </c>
      <c r="H524" s="7">
        <v>0</v>
      </c>
      <c r="I524" s="1" t="str">
        <f t="shared" si="329"/>
        <v>011</v>
      </c>
      <c r="J524" t="str">
        <f t="shared" si="330"/>
        <v>001</v>
      </c>
      <c r="K524">
        <f t="shared" si="331"/>
        <v>0</v>
      </c>
      <c r="M524" s="21" t="s">
        <v>77</v>
      </c>
      <c r="N524" s="26" t="s">
        <v>81</v>
      </c>
      <c r="O524">
        <v>0</v>
      </c>
      <c r="Q524" s="1" t="b">
        <f t="shared" si="332"/>
        <v>1</v>
      </c>
      <c r="R524" t="b">
        <f t="shared" si="333"/>
        <v>1</v>
      </c>
      <c r="S524" t="b">
        <f t="shared" si="334"/>
        <v>1</v>
      </c>
    </row>
    <row r="525" spans="2:19" x14ac:dyDescent="0.15">
      <c r="D525" t="s">
        <v>49</v>
      </c>
      <c r="E525" s="9" t="s">
        <v>31</v>
      </c>
      <c r="F525" s="14" t="s">
        <v>15</v>
      </c>
      <c r="G525">
        <v>16</v>
      </c>
      <c r="H525" s="7">
        <v>0</v>
      </c>
      <c r="I525" s="1" t="str">
        <f t="shared" si="329"/>
        <v>011</v>
      </c>
      <c r="J525" t="str">
        <f t="shared" si="330"/>
        <v>001</v>
      </c>
      <c r="K525">
        <f t="shared" si="331"/>
        <v>0</v>
      </c>
      <c r="M525" s="21" t="s">
        <v>77</v>
      </c>
      <c r="N525" s="26" t="s">
        <v>81</v>
      </c>
      <c r="O525">
        <v>0</v>
      </c>
      <c r="Q525" s="1" t="b">
        <f t="shared" si="332"/>
        <v>1</v>
      </c>
      <c r="R525" t="b">
        <f t="shared" si="333"/>
        <v>1</v>
      </c>
      <c r="S525" t="b">
        <f t="shared" si="334"/>
        <v>1</v>
      </c>
    </row>
    <row r="526" spans="2:19" x14ac:dyDescent="0.15">
      <c r="C526" s="2" t="s">
        <v>96</v>
      </c>
      <c r="D526" s="2" t="s">
        <v>47</v>
      </c>
      <c r="E526" s="11" t="s">
        <v>136</v>
      </c>
      <c r="F526" s="13" t="s">
        <v>15</v>
      </c>
      <c r="G526" s="2">
        <v>10</v>
      </c>
      <c r="H526" s="24">
        <v>0</v>
      </c>
      <c r="I526" s="3" t="str">
        <f t="shared" si="329"/>
        <v>011</v>
      </c>
      <c r="J526" s="2" t="str">
        <f t="shared" si="330"/>
        <v>009</v>
      </c>
      <c r="K526" s="2">
        <f t="shared" si="331"/>
        <v>0</v>
      </c>
      <c r="L526" s="2"/>
      <c r="M526" s="20" t="s">
        <v>77</v>
      </c>
      <c r="N526" s="25" t="s">
        <v>913</v>
      </c>
      <c r="O526" s="2">
        <v>0</v>
      </c>
      <c r="P526" s="2"/>
      <c r="Q526" s="3" t="b">
        <f t="shared" ref="Q526:Q527" si="335">getText(I526)=getText(M526)</f>
        <v>1</v>
      </c>
      <c r="R526" s="2" t="b">
        <f t="shared" ref="R526:R527" si="336">getText(J526)=getText(N526)</f>
        <v>1</v>
      </c>
      <c r="S526" s="2" t="b">
        <f t="shared" ref="S526:S527" si="337">getText(K526)=getText(O526)</f>
        <v>1</v>
      </c>
    </row>
    <row r="527" spans="2:19" x14ac:dyDescent="0.15">
      <c r="D527" t="s">
        <v>49</v>
      </c>
      <c r="E527" s="9" t="s">
        <v>137</v>
      </c>
      <c r="F527" s="14" t="s">
        <v>15</v>
      </c>
      <c r="G527">
        <v>16</v>
      </c>
      <c r="H527" s="7">
        <v>0</v>
      </c>
      <c r="I527" s="1" t="str">
        <f t="shared" si="329"/>
        <v>011</v>
      </c>
      <c r="J527" t="str">
        <f t="shared" si="330"/>
        <v>00F</v>
      </c>
      <c r="K527">
        <f t="shared" si="331"/>
        <v>0</v>
      </c>
      <c r="M527" s="21" t="s">
        <v>77</v>
      </c>
      <c r="N527" s="26" t="s">
        <v>914</v>
      </c>
      <c r="O527">
        <v>0</v>
      </c>
      <c r="Q527" s="1" t="b">
        <f t="shared" si="335"/>
        <v>1</v>
      </c>
      <c r="R527" t="b">
        <f t="shared" si="336"/>
        <v>1</v>
      </c>
      <c r="S527" t="b">
        <f t="shared" si="337"/>
        <v>1</v>
      </c>
    </row>
    <row r="528" spans="2:19" x14ac:dyDescent="0.15">
      <c r="B528" s="22" t="s">
        <v>90</v>
      </c>
      <c r="C528" s="2" t="s">
        <v>85</v>
      </c>
      <c r="D528" s="2" t="s">
        <v>46</v>
      </c>
      <c r="E528" s="11" t="s">
        <v>133</v>
      </c>
      <c r="F528" s="13" t="s">
        <v>15</v>
      </c>
      <c r="G528" s="2">
        <v>2</v>
      </c>
      <c r="H528" s="2">
        <v>0</v>
      </c>
      <c r="I528" s="3" t="str">
        <f t="shared" ref="I528:I530" si="338">TESTdivide(E528,F528,G528,H528)</f>
        <v>011</v>
      </c>
      <c r="J528" s="2" t="str">
        <f t="shared" ref="J528:J530" si="339">TESTdivideByRef1(E528,F528,G528,H528)</f>
        <v>000</v>
      </c>
      <c r="K528" s="2">
        <f t="shared" ref="K528:K530" si="340">TESTdivideByRef2(E528,F528,G528,H528)</f>
        <v>0</v>
      </c>
      <c r="L528" s="2"/>
      <c r="M528" s="20" t="s">
        <v>134</v>
      </c>
      <c r="N528" s="25" t="s">
        <v>912</v>
      </c>
      <c r="O528" s="2">
        <v>0</v>
      </c>
      <c r="P528" s="2"/>
      <c r="Q528" s="3" t="b">
        <f t="shared" ref="Q528:Q530" si="341">getText(I528)=getText(M528)</f>
        <v>1</v>
      </c>
      <c r="R528" s="2" t="b">
        <f t="shared" ref="R528:R530" si="342">getText(J528)=getText(N528)</f>
        <v>1</v>
      </c>
      <c r="S528" s="2" t="b">
        <f t="shared" ref="S528:S530" si="343">getText(K528)=getText(O528)</f>
        <v>1</v>
      </c>
    </row>
    <row r="529" spans="2:19" x14ac:dyDescent="0.15">
      <c r="B529" s="23"/>
      <c r="D529" t="s">
        <v>47</v>
      </c>
      <c r="E529" s="9" t="s">
        <v>138</v>
      </c>
      <c r="F529" s="14" t="s">
        <v>15</v>
      </c>
      <c r="G529">
        <v>10</v>
      </c>
      <c r="H529" s="7">
        <v>0</v>
      </c>
      <c r="I529" s="1" t="str">
        <f t="shared" si="338"/>
        <v>099</v>
      </c>
      <c r="J529" t="str">
        <f t="shared" si="339"/>
        <v>000</v>
      </c>
      <c r="K529">
        <f t="shared" si="340"/>
        <v>0</v>
      </c>
      <c r="M529" s="21" t="s">
        <v>140</v>
      </c>
      <c r="N529" s="26" t="s">
        <v>912</v>
      </c>
      <c r="O529">
        <v>0</v>
      </c>
      <c r="Q529" s="1" t="b">
        <f t="shared" si="341"/>
        <v>1</v>
      </c>
      <c r="R529" t="b">
        <f t="shared" si="342"/>
        <v>1</v>
      </c>
      <c r="S529" t="b">
        <f t="shared" si="343"/>
        <v>1</v>
      </c>
    </row>
    <row r="530" spans="2:19" x14ac:dyDescent="0.15">
      <c r="B530" s="23"/>
      <c r="D530" t="s">
        <v>49</v>
      </c>
      <c r="E530" s="9" t="s">
        <v>143</v>
      </c>
      <c r="F530" s="14" t="s">
        <v>15</v>
      </c>
      <c r="G530">
        <v>16</v>
      </c>
      <c r="H530" s="7">
        <v>0</v>
      </c>
      <c r="I530" s="1" t="str">
        <f t="shared" si="338"/>
        <v>0FF</v>
      </c>
      <c r="J530" t="str">
        <f t="shared" si="339"/>
        <v>000</v>
      </c>
      <c r="K530">
        <f t="shared" si="340"/>
        <v>0</v>
      </c>
      <c r="M530" s="21" t="s">
        <v>142</v>
      </c>
      <c r="N530" s="26" t="s">
        <v>912</v>
      </c>
      <c r="O530">
        <v>0</v>
      </c>
      <c r="Q530" s="1" t="b">
        <f t="shared" si="341"/>
        <v>1</v>
      </c>
      <c r="R530" t="b">
        <f t="shared" si="342"/>
        <v>1</v>
      </c>
      <c r="S530" t="b">
        <f t="shared" si="343"/>
        <v>1</v>
      </c>
    </row>
    <row r="531" spans="2:19" x14ac:dyDescent="0.15">
      <c r="B531" s="23"/>
      <c r="C531" s="2" t="s">
        <v>86</v>
      </c>
      <c r="D531" s="2" t="s">
        <v>46</v>
      </c>
      <c r="E531" s="11" t="s">
        <v>144</v>
      </c>
      <c r="F531" s="13" t="s">
        <v>15</v>
      </c>
      <c r="G531" s="2">
        <v>2</v>
      </c>
      <c r="H531" s="2">
        <v>0</v>
      </c>
      <c r="I531" s="3" t="str">
        <f t="shared" ref="I531:I533" si="344">TESTdivide(E531,F531,G531,H531)</f>
        <v>011</v>
      </c>
      <c r="J531" s="2" t="str">
        <f t="shared" ref="J531:J533" si="345">TESTdivideByRef1(E531,F531,G531,H531)</f>
        <v>001</v>
      </c>
      <c r="K531" s="2">
        <f t="shared" ref="K531:K533" si="346">TESTdivideByRef2(E531,F531,G531,H531)</f>
        <v>0</v>
      </c>
      <c r="L531" s="2"/>
      <c r="M531" s="20" t="s">
        <v>77</v>
      </c>
      <c r="N531" s="25" t="s">
        <v>81</v>
      </c>
      <c r="O531" s="2">
        <v>0</v>
      </c>
      <c r="P531" s="2"/>
      <c r="Q531" s="3" t="b">
        <f t="shared" ref="Q531:Q533" si="347">getText(I531)=getText(M531)</f>
        <v>1</v>
      </c>
      <c r="R531" s="2" t="b">
        <f t="shared" ref="R531:R533" si="348">getText(J531)=getText(N531)</f>
        <v>1</v>
      </c>
      <c r="S531" s="2" t="b">
        <f t="shared" ref="S531:S533" si="349">getText(K531)=getText(O531)</f>
        <v>1</v>
      </c>
    </row>
    <row r="532" spans="2:19" x14ac:dyDescent="0.15">
      <c r="B532" s="23"/>
      <c r="D532" t="s">
        <v>47</v>
      </c>
      <c r="E532" s="9" t="s">
        <v>145</v>
      </c>
      <c r="F532" s="14" t="s">
        <v>15</v>
      </c>
      <c r="G532">
        <v>10</v>
      </c>
      <c r="H532" s="7">
        <v>0</v>
      </c>
      <c r="I532" s="1" t="str">
        <f t="shared" si="344"/>
        <v>099</v>
      </c>
      <c r="J532" t="str">
        <f t="shared" si="345"/>
        <v>001</v>
      </c>
      <c r="K532">
        <f t="shared" si="346"/>
        <v>0</v>
      </c>
      <c r="M532" s="21" t="s">
        <v>139</v>
      </c>
      <c r="N532" s="26" t="s">
        <v>81</v>
      </c>
      <c r="O532">
        <v>0</v>
      </c>
      <c r="Q532" s="1" t="b">
        <f t="shared" si="347"/>
        <v>1</v>
      </c>
      <c r="R532" t="b">
        <f t="shared" si="348"/>
        <v>1</v>
      </c>
      <c r="S532" t="b">
        <f t="shared" si="349"/>
        <v>1</v>
      </c>
    </row>
    <row r="533" spans="2:19" x14ac:dyDescent="0.15">
      <c r="D533" t="s">
        <v>49</v>
      </c>
      <c r="E533" s="9" t="s">
        <v>146</v>
      </c>
      <c r="F533" s="14" t="s">
        <v>15</v>
      </c>
      <c r="G533">
        <v>16</v>
      </c>
      <c r="H533" s="7">
        <v>0</v>
      </c>
      <c r="I533" s="1" t="str">
        <f t="shared" si="344"/>
        <v>0FF</v>
      </c>
      <c r="J533" t="str">
        <f t="shared" si="345"/>
        <v>001</v>
      </c>
      <c r="K533">
        <f t="shared" si="346"/>
        <v>0</v>
      </c>
      <c r="M533" s="21" t="s">
        <v>141</v>
      </c>
      <c r="N533" s="26" t="s">
        <v>81</v>
      </c>
      <c r="O533">
        <v>0</v>
      </c>
      <c r="Q533" s="1" t="b">
        <f t="shared" si="347"/>
        <v>1</v>
      </c>
      <c r="R533" t="b">
        <f t="shared" si="348"/>
        <v>1</v>
      </c>
      <c r="S533" t="b">
        <f t="shared" si="349"/>
        <v>1</v>
      </c>
    </row>
    <row r="534" spans="2:19" x14ac:dyDescent="0.15">
      <c r="C534" s="2" t="s">
        <v>96</v>
      </c>
      <c r="D534" s="2" t="s">
        <v>47</v>
      </c>
      <c r="E534" s="11" t="s">
        <v>147</v>
      </c>
      <c r="F534" s="13" t="s">
        <v>15</v>
      </c>
      <c r="G534" s="2">
        <v>10</v>
      </c>
      <c r="H534" s="24">
        <v>0</v>
      </c>
      <c r="I534" s="3" t="str">
        <f t="shared" ref="I534:I535" si="350">TESTdivide(E534,F534,G534,H534)</f>
        <v>099</v>
      </c>
      <c r="J534" s="2" t="str">
        <f t="shared" ref="J534:J535" si="351">TESTdivideByRef1(E534,F534,G534,H534)</f>
        <v>009</v>
      </c>
      <c r="K534" s="2">
        <f t="shared" ref="K534:K535" si="352">TESTdivideByRef2(E534,F534,G534,H534)</f>
        <v>0</v>
      </c>
      <c r="L534" s="2"/>
      <c r="M534" s="20" t="s">
        <v>139</v>
      </c>
      <c r="N534" s="25" t="s">
        <v>913</v>
      </c>
      <c r="O534" s="2">
        <v>0</v>
      </c>
      <c r="P534" s="2"/>
      <c r="Q534" s="3" t="b">
        <f t="shared" ref="Q534:Q535" si="353">getText(I534)=getText(M534)</f>
        <v>1</v>
      </c>
      <c r="R534" s="2" t="b">
        <f t="shared" ref="R534:R535" si="354">getText(J534)=getText(N534)</f>
        <v>1</v>
      </c>
      <c r="S534" s="2" t="b">
        <f t="shared" ref="S534:S535" si="355">getText(K534)=getText(O534)</f>
        <v>1</v>
      </c>
    </row>
    <row r="535" spans="2:19" x14ac:dyDescent="0.15">
      <c r="D535" t="s">
        <v>49</v>
      </c>
      <c r="E535" s="9" t="s">
        <v>148</v>
      </c>
      <c r="F535" s="14" t="s">
        <v>15</v>
      </c>
      <c r="G535">
        <v>16</v>
      </c>
      <c r="H535" s="7">
        <v>0</v>
      </c>
      <c r="I535" s="1" t="str">
        <f t="shared" si="350"/>
        <v>0FF</v>
      </c>
      <c r="J535" t="str">
        <f t="shared" si="351"/>
        <v>00F</v>
      </c>
      <c r="K535">
        <f t="shared" si="352"/>
        <v>0</v>
      </c>
      <c r="M535" s="21" t="s">
        <v>141</v>
      </c>
      <c r="N535" s="26" t="s">
        <v>914</v>
      </c>
      <c r="O535">
        <v>0</v>
      </c>
      <c r="Q535" s="1" t="b">
        <f t="shared" si="353"/>
        <v>1</v>
      </c>
      <c r="R535" t="b">
        <f t="shared" si="354"/>
        <v>1</v>
      </c>
      <c r="S535" t="b">
        <f t="shared" si="355"/>
        <v>1</v>
      </c>
    </row>
    <row r="536" spans="2:19" x14ac:dyDescent="0.15">
      <c r="B536" s="22" t="s">
        <v>91</v>
      </c>
      <c r="C536" s="2" t="s">
        <v>85</v>
      </c>
      <c r="D536" s="2" t="s">
        <v>46</v>
      </c>
      <c r="E536" s="11" t="s">
        <v>149</v>
      </c>
      <c r="F536" s="13" t="s">
        <v>15</v>
      </c>
      <c r="G536" s="2">
        <v>2</v>
      </c>
      <c r="H536" s="2">
        <v>0</v>
      </c>
      <c r="I536" s="3" t="str">
        <f t="shared" ref="I536:I538" si="356">TESTdivide(E536,F536,G536,H536)</f>
        <v>0100</v>
      </c>
      <c r="J536" s="2" t="str">
        <f t="shared" ref="J536:J538" si="357">TESTdivideByRef1(E536,F536,G536,H536)</f>
        <v>0000</v>
      </c>
      <c r="K536" s="2">
        <f t="shared" ref="K536:K538" si="358">TESTdivideByRef2(E536,F536,G536,H536)</f>
        <v>0</v>
      </c>
      <c r="L536" s="2"/>
      <c r="M536" s="20" t="s">
        <v>150</v>
      </c>
      <c r="N536" s="25" t="s">
        <v>915</v>
      </c>
      <c r="O536" s="2">
        <v>0</v>
      </c>
      <c r="P536" s="2"/>
      <c r="Q536" s="3" t="b">
        <f t="shared" ref="Q536:Q538" si="359">getText(I536)=getText(M536)</f>
        <v>1</v>
      </c>
      <c r="R536" s="2" t="b">
        <f t="shared" ref="R536:R538" si="360">getText(J536)=getText(N536)</f>
        <v>1</v>
      </c>
      <c r="S536" s="2" t="b">
        <f t="shared" ref="S536:S538" si="361">getText(K536)=getText(O536)</f>
        <v>1</v>
      </c>
    </row>
    <row r="537" spans="2:19" x14ac:dyDescent="0.15">
      <c r="B537" s="23"/>
      <c r="D537" t="s">
        <v>47</v>
      </c>
      <c r="E537" s="9" t="s">
        <v>149</v>
      </c>
      <c r="F537" s="14" t="s">
        <v>15</v>
      </c>
      <c r="G537">
        <v>10</v>
      </c>
      <c r="H537" s="7">
        <v>0</v>
      </c>
      <c r="I537" s="1" t="str">
        <f t="shared" si="356"/>
        <v>0100</v>
      </c>
      <c r="J537" t="str">
        <f t="shared" si="357"/>
        <v>0000</v>
      </c>
      <c r="K537">
        <f t="shared" si="358"/>
        <v>0</v>
      </c>
      <c r="M537" s="21" t="s">
        <v>150</v>
      </c>
      <c r="N537" s="26" t="s">
        <v>915</v>
      </c>
      <c r="O537">
        <v>0</v>
      </c>
      <c r="Q537" s="1" t="b">
        <f t="shared" si="359"/>
        <v>1</v>
      </c>
      <c r="R537" t="b">
        <f t="shared" si="360"/>
        <v>1</v>
      </c>
      <c r="S537" t="b">
        <f t="shared" si="361"/>
        <v>1</v>
      </c>
    </row>
    <row r="538" spans="2:19" x14ac:dyDescent="0.15">
      <c r="B538" s="23"/>
      <c r="D538" t="s">
        <v>49</v>
      </c>
      <c r="E538" s="9" t="s">
        <v>149</v>
      </c>
      <c r="F538" s="14" t="s">
        <v>15</v>
      </c>
      <c r="G538">
        <v>16</v>
      </c>
      <c r="H538" s="7">
        <v>0</v>
      </c>
      <c r="I538" s="1" t="str">
        <f t="shared" si="356"/>
        <v>0100</v>
      </c>
      <c r="J538" t="str">
        <f t="shared" si="357"/>
        <v>0000</v>
      </c>
      <c r="K538">
        <f t="shared" si="358"/>
        <v>0</v>
      </c>
      <c r="M538" s="21" t="s">
        <v>150</v>
      </c>
      <c r="N538" s="26" t="s">
        <v>915</v>
      </c>
      <c r="O538">
        <v>0</v>
      </c>
      <c r="Q538" s="1" t="b">
        <f t="shared" si="359"/>
        <v>1</v>
      </c>
      <c r="R538" t="b">
        <f t="shared" si="360"/>
        <v>1</v>
      </c>
      <c r="S538" t="b">
        <f t="shared" si="361"/>
        <v>1</v>
      </c>
    </row>
    <row r="539" spans="2:19" x14ac:dyDescent="0.15">
      <c r="B539" s="23"/>
      <c r="C539" s="2" t="s">
        <v>86</v>
      </c>
      <c r="D539" s="2" t="s">
        <v>46</v>
      </c>
      <c r="E539" s="11" t="s">
        <v>151</v>
      </c>
      <c r="F539" s="13" t="s">
        <v>15</v>
      </c>
      <c r="G539" s="2">
        <v>2</v>
      </c>
      <c r="H539" s="2">
        <v>0</v>
      </c>
      <c r="I539" s="3" t="str">
        <f t="shared" ref="I539:I541" si="362">TESTdivide(E539,F539,G539,H539)</f>
        <v>0100</v>
      </c>
      <c r="J539" s="2" t="str">
        <f t="shared" ref="J539:J541" si="363">TESTdivideByRef1(E539,F539,G539,H539)</f>
        <v>0001</v>
      </c>
      <c r="K539" s="2">
        <f t="shared" ref="K539:K541" si="364">TESTdivideByRef2(E539,F539,G539,H539)</f>
        <v>0</v>
      </c>
      <c r="L539" s="2"/>
      <c r="M539" s="20" t="s">
        <v>150</v>
      </c>
      <c r="N539" s="25" t="s">
        <v>429</v>
      </c>
      <c r="O539" s="2">
        <v>0</v>
      </c>
      <c r="P539" s="2"/>
      <c r="Q539" s="3" t="b">
        <f t="shared" ref="Q539:Q541" si="365">getText(I539)=getText(M539)</f>
        <v>1</v>
      </c>
      <c r="R539" s="2" t="b">
        <f t="shared" ref="R539:R541" si="366">getText(J539)=getText(N539)</f>
        <v>1</v>
      </c>
      <c r="S539" s="2" t="b">
        <f t="shared" ref="S539:S541" si="367">getText(K539)=getText(O539)</f>
        <v>1</v>
      </c>
    </row>
    <row r="540" spans="2:19" x14ac:dyDescent="0.15">
      <c r="B540" s="23"/>
      <c r="D540" t="s">
        <v>47</v>
      </c>
      <c r="E540" s="9" t="s">
        <v>151</v>
      </c>
      <c r="F540" s="14" t="s">
        <v>15</v>
      </c>
      <c r="G540">
        <v>10</v>
      </c>
      <c r="H540" s="7">
        <v>0</v>
      </c>
      <c r="I540" s="1" t="str">
        <f t="shared" si="362"/>
        <v>0100</v>
      </c>
      <c r="J540" t="str">
        <f t="shared" si="363"/>
        <v>0001</v>
      </c>
      <c r="K540">
        <f t="shared" si="364"/>
        <v>0</v>
      </c>
      <c r="M540" s="21" t="s">
        <v>150</v>
      </c>
      <c r="N540" s="26" t="s">
        <v>429</v>
      </c>
      <c r="O540">
        <v>0</v>
      </c>
      <c r="Q540" s="1" t="b">
        <f t="shared" si="365"/>
        <v>1</v>
      </c>
      <c r="R540" t="b">
        <f t="shared" si="366"/>
        <v>1</v>
      </c>
      <c r="S540" t="b">
        <f t="shared" si="367"/>
        <v>1</v>
      </c>
    </row>
    <row r="541" spans="2:19" x14ac:dyDescent="0.15">
      <c r="D541" t="s">
        <v>49</v>
      </c>
      <c r="E541" s="9" t="s">
        <v>151</v>
      </c>
      <c r="F541" s="14" t="s">
        <v>15</v>
      </c>
      <c r="G541">
        <v>16</v>
      </c>
      <c r="H541" s="7">
        <v>0</v>
      </c>
      <c r="I541" s="1" t="str">
        <f t="shared" si="362"/>
        <v>0100</v>
      </c>
      <c r="J541" t="str">
        <f t="shared" si="363"/>
        <v>0001</v>
      </c>
      <c r="K541">
        <f t="shared" si="364"/>
        <v>0</v>
      </c>
      <c r="M541" s="21" t="s">
        <v>150</v>
      </c>
      <c r="N541" s="26" t="s">
        <v>429</v>
      </c>
      <c r="O541">
        <v>0</v>
      </c>
      <c r="Q541" s="1" t="b">
        <f t="shared" si="365"/>
        <v>1</v>
      </c>
      <c r="R541" t="b">
        <f t="shared" si="366"/>
        <v>1</v>
      </c>
      <c r="S541" t="b">
        <f t="shared" si="367"/>
        <v>1</v>
      </c>
    </row>
    <row r="542" spans="2:19" x14ac:dyDescent="0.15">
      <c r="C542" s="2" t="s">
        <v>96</v>
      </c>
      <c r="D542" s="2" t="s">
        <v>47</v>
      </c>
      <c r="E542" s="11" t="s">
        <v>152</v>
      </c>
      <c r="F542" s="13" t="s">
        <v>15</v>
      </c>
      <c r="G542" s="2">
        <v>10</v>
      </c>
      <c r="H542" s="24">
        <v>0</v>
      </c>
      <c r="I542" s="3" t="str">
        <f t="shared" ref="I542:I543" si="368">TESTdivide(E542,F542,G542,H542)</f>
        <v>0100</v>
      </c>
      <c r="J542" s="2" t="str">
        <f t="shared" ref="J542:J543" si="369">TESTdivideByRef1(E542,F542,G542,H542)</f>
        <v>0009</v>
      </c>
      <c r="K542" s="2">
        <f t="shared" ref="K542:K543" si="370">TESTdivideByRef2(E542,F542,G542,H542)</f>
        <v>0</v>
      </c>
      <c r="L542" s="2"/>
      <c r="M542" s="20" t="s">
        <v>150</v>
      </c>
      <c r="N542" s="25" t="s">
        <v>916</v>
      </c>
      <c r="O542" s="2">
        <v>0</v>
      </c>
      <c r="P542" s="2"/>
      <c r="Q542" s="3" t="b">
        <f t="shared" ref="Q542:Q543" si="371">getText(I542)=getText(M542)</f>
        <v>1</v>
      </c>
      <c r="R542" s="2" t="b">
        <f t="shared" ref="R542:R543" si="372">getText(J542)=getText(N542)</f>
        <v>1</v>
      </c>
      <c r="S542" s="2" t="b">
        <f t="shared" ref="S542:S543" si="373">getText(K542)=getText(O542)</f>
        <v>1</v>
      </c>
    </row>
    <row r="543" spans="2:19" x14ac:dyDescent="0.15">
      <c r="D543" t="s">
        <v>49</v>
      </c>
      <c r="E543" s="9" t="s">
        <v>153</v>
      </c>
      <c r="F543" s="14" t="s">
        <v>15</v>
      </c>
      <c r="G543">
        <v>16</v>
      </c>
      <c r="H543" s="7">
        <v>0</v>
      </c>
      <c r="I543" s="1" t="str">
        <f t="shared" si="368"/>
        <v>0100</v>
      </c>
      <c r="J543" t="str">
        <f t="shared" si="369"/>
        <v>000F</v>
      </c>
      <c r="K543">
        <f t="shared" si="370"/>
        <v>0</v>
      </c>
      <c r="M543" s="21" t="s">
        <v>150</v>
      </c>
      <c r="N543" s="26" t="s">
        <v>917</v>
      </c>
      <c r="O543">
        <v>0</v>
      </c>
      <c r="Q543" s="1" t="b">
        <f t="shared" si="371"/>
        <v>1</v>
      </c>
      <c r="R543" t="b">
        <f t="shared" si="372"/>
        <v>1</v>
      </c>
      <c r="S543" t="b">
        <f t="shared" si="373"/>
        <v>1</v>
      </c>
    </row>
    <row r="544" spans="2:19" x14ac:dyDescent="0.15">
      <c r="B544" s="22" t="s">
        <v>92</v>
      </c>
      <c r="C544" s="2" t="s">
        <v>85</v>
      </c>
      <c r="D544" s="2" t="s">
        <v>46</v>
      </c>
      <c r="E544" s="11" t="s">
        <v>154</v>
      </c>
      <c r="F544" s="13" t="s">
        <v>15</v>
      </c>
      <c r="G544" s="2">
        <v>2</v>
      </c>
      <c r="H544" s="2">
        <v>0</v>
      </c>
      <c r="I544" s="3" t="str">
        <f t="shared" ref="I544:I546" si="374">TESTdivide(E544,F544,G544,H544)</f>
        <v>0101</v>
      </c>
      <c r="J544" s="2" t="str">
        <f t="shared" ref="J544:J546" si="375">TESTdivideByRef1(E544,F544,G544,H544)</f>
        <v>0000</v>
      </c>
      <c r="K544" s="2">
        <f t="shared" ref="K544:K546" si="376">TESTdivideByRef2(E544,F544,G544,H544)</f>
        <v>0</v>
      </c>
      <c r="L544" s="2"/>
      <c r="M544" s="20" t="s">
        <v>155</v>
      </c>
      <c r="N544" s="25" t="s">
        <v>915</v>
      </c>
      <c r="O544" s="2">
        <v>0</v>
      </c>
      <c r="P544" s="2"/>
      <c r="Q544" s="3" t="b">
        <f t="shared" ref="Q544:Q546" si="377">getText(I544)=getText(M544)</f>
        <v>1</v>
      </c>
      <c r="R544" s="2" t="b">
        <f t="shared" ref="R544:R546" si="378">getText(J544)=getText(N544)</f>
        <v>1</v>
      </c>
      <c r="S544" s="2" t="b">
        <f t="shared" ref="S544:S546" si="379">getText(K544)=getText(O544)</f>
        <v>1</v>
      </c>
    </row>
    <row r="545" spans="2:19" x14ac:dyDescent="0.15">
      <c r="B545" s="23"/>
      <c r="D545" t="s">
        <v>47</v>
      </c>
      <c r="E545" s="9" t="s">
        <v>154</v>
      </c>
      <c r="F545" s="14" t="s">
        <v>15</v>
      </c>
      <c r="G545">
        <v>10</v>
      </c>
      <c r="H545" s="7">
        <v>0</v>
      </c>
      <c r="I545" s="1" t="str">
        <f t="shared" si="374"/>
        <v>0101</v>
      </c>
      <c r="J545" t="str">
        <f t="shared" si="375"/>
        <v>0000</v>
      </c>
      <c r="K545">
        <f t="shared" si="376"/>
        <v>0</v>
      </c>
      <c r="M545" s="21" t="s">
        <v>155</v>
      </c>
      <c r="N545" s="26" t="s">
        <v>915</v>
      </c>
      <c r="O545">
        <v>0</v>
      </c>
      <c r="Q545" s="1" t="b">
        <f t="shared" si="377"/>
        <v>1</v>
      </c>
      <c r="R545" t="b">
        <f t="shared" si="378"/>
        <v>1</v>
      </c>
      <c r="S545" t="b">
        <f t="shared" si="379"/>
        <v>1</v>
      </c>
    </row>
    <row r="546" spans="2:19" x14ac:dyDescent="0.15">
      <c r="B546" s="23"/>
      <c r="D546" t="s">
        <v>49</v>
      </c>
      <c r="E546" s="9" t="s">
        <v>154</v>
      </c>
      <c r="F546" s="14" t="s">
        <v>15</v>
      </c>
      <c r="G546">
        <v>16</v>
      </c>
      <c r="H546" s="7">
        <v>0</v>
      </c>
      <c r="I546" s="1" t="str">
        <f t="shared" si="374"/>
        <v>0101</v>
      </c>
      <c r="J546" t="str">
        <f t="shared" si="375"/>
        <v>0000</v>
      </c>
      <c r="K546">
        <f t="shared" si="376"/>
        <v>0</v>
      </c>
      <c r="M546" s="21" t="s">
        <v>155</v>
      </c>
      <c r="N546" s="26" t="s">
        <v>915</v>
      </c>
      <c r="O546">
        <v>0</v>
      </c>
      <c r="Q546" s="1" t="b">
        <f t="shared" si="377"/>
        <v>1</v>
      </c>
      <c r="R546" t="b">
        <f t="shared" si="378"/>
        <v>1</v>
      </c>
      <c r="S546" t="b">
        <f t="shared" si="379"/>
        <v>1</v>
      </c>
    </row>
    <row r="547" spans="2:19" x14ac:dyDescent="0.15">
      <c r="B547" s="23"/>
      <c r="C547" s="2" t="s">
        <v>86</v>
      </c>
      <c r="D547" s="2" t="s">
        <v>46</v>
      </c>
      <c r="E547" s="11" t="s">
        <v>157</v>
      </c>
      <c r="F547" s="13" t="s">
        <v>15</v>
      </c>
      <c r="G547" s="2">
        <v>2</v>
      </c>
      <c r="H547" s="2">
        <v>0</v>
      </c>
      <c r="I547" s="3" t="str">
        <f t="shared" ref="I547:I549" si="380">TESTdivide(E547,F547,G547,H547)</f>
        <v>0101</v>
      </c>
      <c r="J547" s="2" t="str">
        <f t="shared" ref="J547:J549" si="381">TESTdivideByRef1(E547,F547,G547,H547)</f>
        <v>0001</v>
      </c>
      <c r="K547" s="2">
        <f t="shared" ref="K547:K549" si="382">TESTdivideByRef2(E547,F547,G547,H547)</f>
        <v>0</v>
      </c>
      <c r="L547" s="2"/>
      <c r="M547" s="20" t="s">
        <v>155</v>
      </c>
      <c r="N547" s="25" t="s">
        <v>429</v>
      </c>
      <c r="O547" s="2">
        <v>0</v>
      </c>
      <c r="P547" s="2"/>
      <c r="Q547" s="3" t="b">
        <f t="shared" ref="Q547:Q549" si="383">getText(I547)=getText(M547)</f>
        <v>1</v>
      </c>
      <c r="R547" s="2" t="b">
        <f t="shared" ref="R547:R549" si="384">getText(J547)=getText(N547)</f>
        <v>1</v>
      </c>
      <c r="S547" s="2" t="b">
        <f t="shared" ref="S547:S549" si="385">getText(K547)=getText(O547)</f>
        <v>1</v>
      </c>
    </row>
    <row r="548" spans="2:19" x14ac:dyDescent="0.15">
      <c r="B548" s="23"/>
      <c r="D548" t="s">
        <v>47</v>
      </c>
      <c r="E548" s="9" t="s">
        <v>156</v>
      </c>
      <c r="F548" s="14" t="s">
        <v>15</v>
      </c>
      <c r="G548">
        <v>10</v>
      </c>
      <c r="H548" s="7">
        <v>0</v>
      </c>
      <c r="I548" s="1" t="str">
        <f t="shared" si="380"/>
        <v>0101</v>
      </c>
      <c r="J548" t="str">
        <f t="shared" si="381"/>
        <v>0001</v>
      </c>
      <c r="K548">
        <f t="shared" si="382"/>
        <v>0</v>
      </c>
      <c r="M548" s="21" t="s">
        <v>155</v>
      </c>
      <c r="N548" s="26" t="s">
        <v>429</v>
      </c>
      <c r="O548">
        <v>0</v>
      </c>
      <c r="Q548" s="1" t="b">
        <f t="shared" si="383"/>
        <v>1</v>
      </c>
      <c r="R548" t="b">
        <f t="shared" si="384"/>
        <v>1</v>
      </c>
      <c r="S548" t="b">
        <f t="shared" si="385"/>
        <v>1</v>
      </c>
    </row>
    <row r="549" spans="2:19" x14ac:dyDescent="0.15">
      <c r="D549" t="s">
        <v>49</v>
      </c>
      <c r="E549" s="9" t="s">
        <v>156</v>
      </c>
      <c r="F549" s="14" t="s">
        <v>15</v>
      </c>
      <c r="G549">
        <v>16</v>
      </c>
      <c r="H549" s="7">
        <v>0</v>
      </c>
      <c r="I549" s="1" t="str">
        <f t="shared" si="380"/>
        <v>0101</v>
      </c>
      <c r="J549" t="str">
        <f t="shared" si="381"/>
        <v>0001</v>
      </c>
      <c r="K549">
        <f t="shared" si="382"/>
        <v>0</v>
      </c>
      <c r="M549" s="21" t="s">
        <v>155</v>
      </c>
      <c r="N549" s="26" t="s">
        <v>429</v>
      </c>
      <c r="O549">
        <v>0</v>
      </c>
      <c r="Q549" s="1" t="b">
        <f t="shared" si="383"/>
        <v>1</v>
      </c>
      <c r="R549" t="b">
        <f t="shared" si="384"/>
        <v>1</v>
      </c>
      <c r="S549" t="b">
        <f t="shared" si="385"/>
        <v>1</v>
      </c>
    </row>
    <row r="550" spans="2:19" x14ac:dyDescent="0.15">
      <c r="C550" s="2" t="s">
        <v>96</v>
      </c>
      <c r="D550" s="2" t="s">
        <v>47</v>
      </c>
      <c r="E550" s="11" t="s">
        <v>158</v>
      </c>
      <c r="F550" s="13" t="s">
        <v>15</v>
      </c>
      <c r="G550" s="2">
        <v>10</v>
      </c>
      <c r="H550" s="24">
        <v>0</v>
      </c>
      <c r="I550" s="3" t="str">
        <f t="shared" ref="I550:I551" si="386">TESTdivide(E550,F550,G550,H550)</f>
        <v>0101</v>
      </c>
      <c r="J550" s="2" t="str">
        <f t="shared" ref="J550:J551" si="387">TESTdivideByRef1(E550,F550,G550,H550)</f>
        <v>0009</v>
      </c>
      <c r="K550" s="2">
        <f t="shared" ref="K550:K551" si="388">TESTdivideByRef2(E550,F550,G550,H550)</f>
        <v>0</v>
      </c>
      <c r="L550" s="2"/>
      <c r="M550" s="20" t="s">
        <v>155</v>
      </c>
      <c r="N550" s="25" t="s">
        <v>916</v>
      </c>
      <c r="O550" s="2">
        <v>0</v>
      </c>
      <c r="P550" s="2"/>
      <c r="Q550" s="3" t="b">
        <f t="shared" ref="Q550:Q551" si="389">getText(I550)=getText(M550)</f>
        <v>1</v>
      </c>
      <c r="R550" s="2" t="b">
        <f t="shared" ref="R550:R551" si="390">getText(J550)=getText(N550)</f>
        <v>1</v>
      </c>
      <c r="S550" s="2" t="b">
        <f t="shared" ref="S550:S551" si="391">getText(K550)=getText(O550)</f>
        <v>1</v>
      </c>
    </row>
    <row r="551" spans="2:19" x14ac:dyDescent="0.15">
      <c r="D551" t="s">
        <v>49</v>
      </c>
      <c r="E551" s="9" t="s">
        <v>159</v>
      </c>
      <c r="F551" s="14" t="s">
        <v>15</v>
      </c>
      <c r="G551">
        <v>16</v>
      </c>
      <c r="H551" s="7">
        <v>0</v>
      </c>
      <c r="I551" s="1" t="str">
        <f t="shared" si="386"/>
        <v>0101</v>
      </c>
      <c r="J551" t="str">
        <f t="shared" si="387"/>
        <v>000F</v>
      </c>
      <c r="K551">
        <f t="shared" si="388"/>
        <v>0</v>
      </c>
      <c r="M551" s="21" t="s">
        <v>155</v>
      </c>
      <c r="N551" s="26" t="s">
        <v>917</v>
      </c>
      <c r="O551">
        <v>0</v>
      </c>
      <c r="Q551" s="1" t="b">
        <f t="shared" si="389"/>
        <v>1</v>
      </c>
      <c r="R551" t="b">
        <f t="shared" si="390"/>
        <v>1</v>
      </c>
      <c r="S551" t="b">
        <f t="shared" si="391"/>
        <v>1</v>
      </c>
    </row>
    <row r="552" spans="2:19" x14ac:dyDescent="0.15">
      <c r="B552" s="22" t="s">
        <v>93</v>
      </c>
      <c r="C552" s="2" t="s">
        <v>85</v>
      </c>
      <c r="D552" s="2" t="s">
        <v>46</v>
      </c>
      <c r="E552" s="11" t="s">
        <v>166</v>
      </c>
      <c r="F552" s="13" t="s">
        <v>15</v>
      </c>
      <c r="G552" s="2">
        <v>2</v>
      </c>
      <c r="H552" s="2">
        <v>0</v>
      </c>
      <c r="I552" s="3" t="str">
        <f t="shared" ref="I552:I554" si="392">TESTdivide(E552,F552,G552,H552)</f>
        <v>0111</v>
      </c>
      <c r="J552" s="2" t="str">
        <f t="shared" ref="J552:J554" si="393">TESTdivideByRef1(E552,F552,G552,H552)</f>
        <v>0000</v>
      </c>
      <c r="K552" s="2">
        <f t="shared" ref="K552:K554" si="394">TESTdivideByRef2(E552,F552,G552,H552)</f>
        <v>0</v>
      </c>
      <c r="L552" s="2"/>
      <c r="M552" s="20" t="s">
        <v>171</v>
      </c>
      <c r="N552" s="25" t="s">
        <v>915</v>
      </c>
      <c r="O552" s="2">
        <v>0</v>
      </c>
      <c r="P552" s="2"/>
      <c r="Q552" s="3" t="b">
        <f t="shared" ref="Q552:Q554" si="395">getText(I552)=getText(M552)</f>
        <v>1</v>
      </c>
      <c r="R552" s="2" t="b">
        <f t="shared" ref="R552:R554" si="396">getText(J552)=getText(N552)</f>
        <v>1</v>
      </c>
      <c r="S552" s="2" t="b">
        <f t="shared" ref="S552:S554" si="397">getText(K552)=getText(O552)</f>
        <v>1</v>
      </c>
    </row>
    <row r="553" spans="2:19" x14ac:dyDescent="0.15">
      <c r="B553" s="23"/>
      <c r="D553" t="s">
        <v>47</v>
      </c>
      <c r="E553" s="9" t="s">
        <v>166</v>
      </c>
      <c r="F553" s="14" t="s">
        <v>15</v>
      </c>
      <c r="G553">
        <v>10</v>
      </c>
      <c r="H553" s="7">
        <v>0</v>
      </c>
      <c r="I553" s="1" t="str">
        <f t="shared" si="392"/>
        <v>0111</v>
      </c>
      <c r="J553" t="str">
        <f t="shared" si="393"/>
        <v>0000</v>
      </c>
      <c r="K553">
        <f t="shared" si="394"/>
        <v>0</v>
      </c>
      <c r="M553" s="21" t="s">
        <v>171</v>
      </c>
      <c r="N553" s="26" t="s">
        <v>915</v>
      </c>
      <c r="O553">
        <v>0</v>
      </c>
      <c r="Q553" s="1" t="b">
        <f t="shared" si="395"/>
        <v>1</v>
      </c>
      <c r="R553" t="b">
        <f t="shared" si="396"/>
        <v>1</v>
      </c>
      <c r="S553" t="b">
        <f t="shared" si="397"/>
        <v>1</v>
      </c>
    </row>
    <row r="554" spans="2:19" x14ac:dyDescent="0.15">
      <c r="B554" s="23"/>
      <c r="D554" t="s">
        <v>49</v>
      </c>
      <c r="E554" s="9" t="s">
        <v>167</v>
      </c>
      <c r="F554" s="14" t="s">
        <v>15</v>
      </c>
      <c r="G554">
        <v>16</v>
      </c>
      <c r="H554" s="7">
        <v>0</v>
      </c>
      <c r="I554" s="1" t="str">
        <f t="shared" si="392"/>
        <v>0111</v>
      </c>
      <c r="J554" t="str">
        <f t="shared" si="393"/>
        <v>0000</v>
      </c>
      <c r="K554">
        <f t="shared" si="394"/>
        <v>0</v>
      </c>
      <c r="M554" s="21" t="s">
        <v>171</v>
      </c>
      <c r="N554" s="26" t="s">
        <v>915</v>
      </c>
      <c r="O554">
        <v>0</v>
      </c>
      <c r="Q554" s="1" t="b">
        <f t="shared" si="395"/>
        <v>1</v>
      </c>
      <c r="R554" t="b">
        <f t="shared" si="396"/>
        <v>1</v>
      </c>
      <c r="S554" t="b">
        <f t="shared" si="397"/>
        <v>1</v>
      </c>
    </row>
    <row r="555" spans="2:19" x14ac:dyDescent="0.15">
      <c r="B555" s="23"/>
      <c r="C555" s="2" t="s">
        <v>86</v>
      </c>
      <c r="D555" s="2" t="s">
        <v>46</v>
      </c>
      <c r="E555" s="11" t="s">
        <v>165</v>
      </c>
      <c r="F555" s="13" t="s">
        <v>15</v>
      </c>
      <c r="G555" s="2">
        <v>2</v>
      </c>
      <c r="H555" s="2">
        <v>0</v>
      </c>
      <c r="I555" s="3" t="str">
        <f t="shared" ref="I555:I562" si="398">TESTdivide(E555,F555,G555,H555)</f>
        <v>0111</v>
      </c>
      <c r="J555" s="2" t="str">
        <f t="shared" ref="J555:J562" si="399">TESTdivideByRef1(E555,F555,G555,H555)</f>
        <v>0001</v>
      </c>
      <c r="K555" s="2">
        <f t="shared" ref="K555:K562" si="400">TESTdivideByRef2(E555,F555,G555,H555)</f>
        <v>0</v>
      </c>
      <c r="L555" s="2"/>
      <c r="M555" s="20" t="s">
        <v>171</v>
      </c>
      <c r="N555" s="25" t="s">
        <v>429</v>
      </c>
      <c r="O555" s="2">
        <v>0</v>
      </c>
      <c r="P555" s="2"/>
      <c r="Q555" s="3" t="b">
        <f t="shared" ref="Q555:Q562" si="401">getText(I555)=getText(M555)</f>
        <v>1</v>
      </c>
      <c r="R555" s="2" t="b">
        <f t="shared" ref="R555:R562" si="402">getText(J555)=getText(N555)</f>
        <v>1</v>
      </c>
      <c r="S555" s="2" t="b">
        <f t="shared" ref="S555:S562" si="403">getText(K555)=getText(O555)</f>
        <v>1</v>
      </c>
    </row>
    <row r="556" spans="2:19" x14ac:dyDescent="0.15">
      <c r="B556" s="23"/>
      <c r="D556" t="s">
        <v>47</v>
      </c>
      <c r="E556" s="9" t="s">
        <v>165</v>
      </c>
      <c r="F556" s="14" t="s">
        <v>15</v>
      </c>
      <c r="G556">
        <v>10</v>
      </c>
      <c r="H556" s="7">
        <v>0</v>
      </c>
      <c r="I556" s="1" t="str">
        <f t="shared" si="398"/>
        <v>0111</v>
      </c>
      <c r="J556" t="str">
        <f t="shared" si="399"/>
        <v>0001</v>
      </c>
      <c r="K556">
        <f t="shared" si="400"/>
        <v>0</v>
      </c>
      <c r="M556" s="21" t="s">
        <v>171</v>
      </c>
      <c r="N556" s="26" t="s">
        <v>429</v>
      </c>
      <c r="O556">
        <v>0</v>
      </c>
      <c r="Q556" s="1" t="b">
        <f t="shared" si="401"/>
        <v>1</v>
      </c>
      <c r="R556" t="b">
        <f t="shared" si="402"/>
        <v>1</v>
      </c>
      <c r="S556" t="b">
        <f t="shared" si="403"/>
        <v>1</v>
      </c>
    </row>
    <row r="557" spans="2:19" x14ac:dyDescent="0.15">
      <c r="D557" t="s">
        <v>49</v>
      </c>
      <c r="E557" s="9" t="s">
        <v>169</v>
      </c>
      <c r="F557" s="14" t="s">
        <v>15</v>
      </c>
      <c r="G557">
        <v>16</v>
      </c>
      <c r="H557" s="7">
        <v>0</v>
      </c>
      <c r="I557" s="1" t="str">
        <f t="shared" si="398"/>
        <v>0111</v>
      </c>
      <c r="J557" t="str">
        <f t="shared" si="399"/>
        <v>0001</v>
      </c>
      <c r="K557">
        <f t="shared" si="400"/>
        <v>0</v>
      </c>
      <c r="M557" s="21" t="s">
        <v>171</v>
      </c>
      <c r="N557" s="26" t="s">
        <v>429</v>
      </c>
      <c r="O557">
        <v>0</v>
      </c>
      <c r="Q557" s="1" t="b">
        <f t="shared" si="401"/>
        <v>1</v>
      </c>
      <c r="R557" t="b">
        <f t="shared" si="402"/>
        <v>1</v>
      </c>
      <c r="S557" t="b">
        <f t="shared" si="403"/>
        <v>1</v>
      </c>
    </row>
    <row r="558" spans="2:19" x14ac:dyDescent="0.15">
      <c r="C558" s="2" t="s">
        <v>96</v>
      </c>
      <c r="D558" s="2" t="s">
        <v>47</v>
      </c>
      <c r="E558" s="11" t="s">
        <v>168</v>
      </c>
      <c r="F558" s="13" t="s">
        <v>15</v>
      </c>
      <c r="G558" s="2">
        <v>10</v>
      </c>
      <c r="H558" s="24">
        <v>0</v>
      </c>
      <c r="I558" s="3" t="str">
        <f t="shared" si="398"/>
        <v>0111</v>
      </c>
      <c r="J558" s="2" t="str">
        <f t="shared" si="399"/>
        <v>0009</v>
      </c>
      <c r="K558" s="2">
        <f t="shared" si="400"/>
        <v>0</v>
      </c>
      <c r="L558" s="2"/>
      <c r="M558" s="20" t="s">
        <v>171</v>
      </c>
      <c r="N558" s="25" t="s">
        <v>916</v>
      </c>
      <c r="O558" s="2">
        <v>0</v>
      </c>
      <c r="P558" s="2"/>
      <c r="Q558" s="3" t="b">
        <f t="shared" si="401"/>
        <v>1</v>
      </c>
      <c r="R558" s="2" t="b">
        <f t="shared" si="402"/>
        <v>1</v>
      </c>
      <c r="S558" s="2" t="b">
        <f t="shared" si="403"/>
        <v>1</v>
      </c>
    </row>
    <row r="559" spans="2:19" x14ac:dyDescent="0.15">
      <c r="D559" t="s">
        <v>49</v>
      </c>
      <c r="E559" s="9" t="s">
        <v>170</v>
      </c>
      <c r="F559" s="14" t="s">
        <v>15</v>
      </c>
      <c r="G559">
        <v>16</v>
      </c>
      <c r="H559" s="7">
        <v>0</v>
      </c>
      <c r="I559" s="1" t="str">
        <f t="shared" si="398"/>
        <v>0111</v>
      </c>
      <c r="J559" t="str">
        <f t="shared" si="399"/>
        <v>000F</v>
      </c>
      <c r="K559">
        <f t="shared" si="400"/>
        <v>0</v>
      </c>
      <c r="M559" s="21" t="s">
        <v>171</v>
      </c>
      <c r="N559" s="26" t="s">
        <v>917</v>
      </c>
      <c r="O559">
        <v>0</v>
      </c>
      <c r="Q559" s="1" t="b">
        <f t="shared" si="401"/>
        <v>1</v>
      </c>
      <c r="R559" t="b">
        <f t="shared" si="402"/>
        <v>1</v>
      </c>
      <c r="S559" t="b">
        <f t="shared" si="403"/>
        <v>1</v>
      </c>
    </row>
    <row r="560" spans="2:19" x14ac:dyDescent="0.15">
      <c r="B560" s="22" t="s">
        <v>94</v>
      </c>
      <c r="C560" s="2" t="s">
        <v>85</v>
      </c>
      <c r="D560" s="2" t="s">
        <v>46</v>
      </c>
      <c r="E560" s="11" t="s">
        <v>160</v>
      </c>
      <c r="F560" s="13" t="s">
        <v>15</v>
      </c>
      <c r="G560" s="2">
        <v>2</v>
      </c>
      <c r="H560" s="2">
        <v>0</v>
      </c>
      <c r="I560" s="3" t="str">
        <f t="shared" si="398"/>
        <v>01000</v>
      </c>
      <c r="J560" s="2" t="str">
        <f t="shared" si="399"/>
        <v>00000</v>
      </c>
      <c r="K560" s="2">
        <f t="shared" si="400"/>
        <v>0</v>
      </c>
      <c r="L560" s="2"/>
      <c r="M560" s="20" t="s">
        <v>161</v>
      </c>
      <c r="N560" s="25" t="s">
        <v>918</v>
      </c>
      <c r="O560" s="2">
        <v>0</v>
      </c>
      <c r="P560" s="2"/>
      <c r="Q560" s="3" t="b">
        <f t="shared" si="401"/>
        <v>1</v>
      </c>
      <c r="R560" s="2" t="b">
        <f t="shared" si="402"/>
        <v>1</v>
      </c>
      <c r="S560" s="2" t="b">
        <f t="shared" si="403"/>
        <v>1</v>
      </c>
    </row>
    <row r="561" spans="2:19" x14ac:dyDescent="0.15">
      <c r="B561" s="23"/>
      <c r="D561" t="s">
        <v>47</v>
      </c>
      <c r="E561" s="9" t="s">
        <v>160</v>
      </c>
      <c r="F561" s="14" t="s">
        <v>15</v>
      </c>
      <c r="G561">
        <v>10</v>
      </c>
      <c r="H561" s="7">
        <v>0</v>
      </c>
      <c r="I561" s="1" t="str">
        <f t="shared" si="398"/>
        <v>01000</v>
      </c>
      <c r="J561" t="str">
        <f t="shared" si="399"/>
        <v>00000</v>
      </c>
      <c r="K561">
        <f t="shared" si="400"/>
        <v>0</v>
      </c>
      <c r="M561" s="21" t="s">
        <v>161</v>
      </c>
      <c r="N561" s="26" t="s">
        <v>918</v>
      </c>
      <c r="O561">
        <v>0</v>
      </c>
      <c r="Q561" s="1" t="b">
        <f t="shared" si="401"/>
        <v>1</v>
      </c>
      <c r="R561" t="b">
        <f t="shared" si="402"/>
        <v>1</v>
      </c>
      <c r="S561" t="b">
        <f t="shared" si="403"/>
        <v>1</v>
      </c>
    </row>
    <row r="562" spans="2:19" x14ac:dyDescent="0.15">
      <c r="B562" s="23"/>
      <c r="D562" t="s">
        <v>49</v>
      </c>
      <c r="E562" s="9" t="s">
        <v>160</v>
      </c>
      <c r="F562" s="14" t="s">
        <v>15</v>
      </c>
      <c r="G562">
        <v>16</v>
      </c>
      <c r="H562" s="7">
        <v>0</v>
      </c>
      <c r="I562" s="1" t="str">
        <f t="shared" si="398"/>
        <v>01000</v>
      </c>
      <c r="J562" t="str">
        <f t="shared" si="399"/>
        <v>00000</v>
      </c>
      <c r="K562">
        <f t="shared" si="400"/>
        <v>0</v>
      </c>
      <c r="M562" s="21" t="s">
        <v>161</v>
      </c>
      <c r="N562" s="26" t="s">
        <v>918</v>
      </c>
      <c r="O562">
        <v>0</v>
      </c>
      <c r="Q562" s="1" t="b">
        <f t="shared" si="401"/>
        <v>1</v>
      </c>
      <c r="R562" t="b">
        <f t="shared" si="402"/>
        <v>1</v>
      </c>
      <c r="S562" t="b">
        <f t="shared" si="403"/>
        <v>1</v>
      </c>
    </row>
    <row r="563" spans="2:19" x14ac:dyDescent="0.15">
      <c r="B563" s="23"/>
      <c r="C563" s="2" t="s">
        <v>86</v>
      </c>
      <c r="D563" s="2" t="s">
        <v>46</v>
      </c>
      <c r="E563" s="11" t="s">
        <v>162</v>
      </c>
      <c r="F563" s="13" t="s">
        <v>15</v>
      </c>
      <c r="G563" s="2">
        <v>2</v>
      </c>
      <c r="H563" s="2">
        <v>0</v>
      </c>
      <c r="I563" s="3" t="str">
        <f t="shared" ref="I563:I567" si="404">TESTdivide(E563,F563,G563,H563)</f>
        <v>01000</v>
      </c>
      <c r="J563" s="2" t="str">
        <f t="shared" ref="J563:J567" si="405">TESTdivideByRef1(E563,F563,G563,H563)</f>
        <v>00001</v>
      </c>
      <c r="K563" s="2">
        <f t="shared" ref="K563:K567" si="406">TESTdivideByRef2(E563,F563,G563,H563)</f>
        <v>0</v>
      </c>
      <c r="L563" s="2"/>
      <c r="M563" s="20" t="s">
        <v>161</v>
      </c>
      <c r="N563" s="25" t="s">
        <v>501</v>
      </c>
      <c r="O563" s="2">
        <v>0</v>
      </c>
      <c r="P563" s="2"/>
      <c r="Q563" s="3" t="b">
        <f t="shared" ref="Q563:Q567" si="407">getText(I563)=getText(M563)</f>
        <v>1</v>
      </c>
      <c r="R563" s="2" t="b">
        <f t="shared" ref="R563:R567" si="408">getText(J563)=getText(N563)</f>
        <v>1</v>
      </c>
      <c r="S563" s="2" t="b">
        <f t="shared" ref="S563:S567" si="409">getText(K563)=getText(O563)</f>
        <v>1</v>
      </c>
    </row>
    <row r="564" spans="2:19" x14ac:dyDescent="0.15">
      <c r="B564" s="23"/>
      <c r="D564" t="s">
        <v>47</v>
      </c>
      <c r="E564" s="9" t="s">
        <v>16</v>
      </c>
      <c r="F564" s="14" t="s">
        <v>15</v>
      </c>
      <c r="G564">
        <v>10</v>
      </c>
      <c r="H564" s="7">
        <v>0</v>
      </c>
      <c r="I564" s="1" t="str">
        <f t="shared" si="404"/>
        <v>01000</v>
      </c>
      <c r="J564" t="str">
        <f t="shared" si="405"/>
        <v>00001</v>
      </c>
      <c r="K564">
        <f t="shared" si="406"/>
        <v>0</v>
      </c>
      <c r="M564" s="21" t="s">
        <v>161</v>
      </c>
      <c r="N564" s="26" t="s">
        <v>501</v>
      </c>
      <c r="O564">
        <v>0</v>
      </c>
      <c r="Q564" s="1" t="b">
        <f t="shared" si="407"/>
        <v>1</v>
      </c>
      <c r="R564" t="b">
        <f t="shared" si="408"/>
        <v>1</v>
      </c>
      <c r="S564" t="b">
        <f t="shared" si="409"/>
        <v>1</v>
      </c>
    </row>
    <row r="565" spans="2:19" x14ac:dyDescent="0.15">
      <c r="D565" t="s">
        <v>49</v>
      </c>
      <c r="E565" s="9" t="s">
        <v>16</v>
      </c>
      <c r="F565" s="14" t="s">
        <v>15</v>
      </c>
      <c r="G565">
        <v>16</v>
      </c>
      <c r="H565" s="7">
        <v>0</v>
      </c>
      <c r="I565" s="1" t="str">
        <f t="shared" si="404"/>
        <v>01000</v>
      </c>
      <c r="J565" t="str">
        <f t="shared" si="405"/>
        <v>00001</v>
      </c>
      <c r="K565">
        <f t="shared" si="406"/>
        <v>0</v>
      </c>
      <c r="M565" s="21" t="s">
        <v>161</v>
      </c>
      <c r="N565" s="26" t="s">
        <v>501</v>
      </c>
      <c r="O565">
        <v>0</v>
      </c>
      <c r="Q565" s="1" t="b">
        <f t="shared" si="407"/>
        <v>1</v>
      </c>
      <c r="R565" t="b">
        <f t="shared" si="408"/>
        <v>1</v>
      </c>
      <c r="S565" t="b">
        <f t="shared" si="409"/>
        <v>1</v>
      </c>
    </row>
    <row r="566" spans="2:19" x14ac:dyDescent="0.15">
      <c r="C566" s="2" t="s">
        <v>96</v>
      </c>
      <c r="D566" s="2" t="s">
        <v>47</v>
      </c>
      <c r="E566" s="11" t="s">
        <v>163</v>
      </c>
      <c r="F566" s="13" t="s">
        <v>15</v>
      </c>
      <c r="G566" s="2">
        <v>10</v>
      </c>
      <c r="H566" s="24">
        <v>0</v>
      </c>
      <c r="I566" s="3" t="str">
        <f t="shared" si="404"/>
        <v>01000</v>
      </c>
      <c r="J566" s="2" t="str">
        <f t="shared" si="405"/>
        <v>00009</v>
      </c>
      <c r="K566" s="2">
        <f t="shared" si="406"/>
        <v>0</v>
      </c>
      <c r="L566" s="2"/>
      <c r="M566" s="20" t="s">
        <v>161</v>
      </c>
      <c r="N566" s="25" t="s">
        <v>919</v>
      </c>
      <c r="O566" s="2">
        <v>0</v>
      </c>
      <c r="P566" s="2"/>
      <c r="Q566" s="3" t="b">
        <f t="shared" si="407"/>
        <v>1</v>
      </c>
      <c r="R566" s="2" t="b">
        <f t="shared" si="408"/>
        <v>1</v>
      </c>
      <c r="S566" s="2" t="b">
        <f t="shared" si="409"/>
        <v>1</v>
      </c>
    </row>
    <row r="567" spans="2:19" x14ac:dyDescent="0.15">
      <c r="D567" t="s">
        <v>49</v>
      </c>
      <c r="E567" s="9" t="s">
        <v>164</v>
      </c>
      <c r="F567" s="14" t="s">
        <v>15</v>
      </c>
      <c r="G567">
        <v>16</v>
      </c>
      <c r="H567" s="7">
        <v>0</v>
      </c>
      <c r="I567" s="1" t="str">
        <f t="shared" si="404"/>
        <v>01000</v>
      </c>
      <c r="J567" t="str">
        <f t="shared" si="405"/>
        <v>0000F</v>
      </c>
      <c r="K567">
        <f t="shared" si="406"/>
        <v>0</v>
      </c>
      <c r="M567" s="21" t="s">
        <v>161</v>
      </c>
      <c r="N567" s="26" t="s">
        <v>920</v>
      </c>
      <c r="O567">
        <v>0</v>
      </c>
      <c r="Q567" s="1" t="b">
        <f t="shared" si="407"/>
        <v>1</v>
      </c>
      <c r="R567" t="b">
        <f t="shared" si="408"/>
        <v>1</v>
      </c>
      <c r="S567" t="b">
        <f t="shared" si="409"/>
        <v>1</v>
      </c>
    </row>
    <row r="568" spans="2:19" x14ac:dyDescent="0.15">
      <c r="B568" s="22" t="s">
        <v>95</v>
      </c>
      <c r="C568" s="2" t="s">
        <v>85</v>
      </c>
      <c r="D568" s="2" t="s">
        <v>46</v>
      </c>
      <c r="E568" s="11" t="s">
        <v>172</v>
      </c>
      <c r="F568" s="13" t="s">
        <v>15</v>
      </c>
      <c r="G568" s="2">
        <v>2</v>
      </c>
      <c r="H568" s="2">
        <v>0</v>
      </c>
      <c r="I568" s="3" t="str">
        <f t="shared" ref="I568:I575" si="410">TESTdivide(E568,F568,G568,H568)</f>
        <v>01001</v>
      </c>
      <c r="J568" s="2" t="str">
        <f t="shared" ref="J568:J575" si="411">TESTdivideByRef1(E568,F568,G568,H568)</f>
        <v>00000</v>
      </c>
      <c r="K568" s="2">
        <f t="shared" ref="K568:K575" si="412">TESTdivideByRef2(E568,F568,G568,H568)</f>
        <v>0</v>
      </c>
      <c r="L568" s="2"/>
      <c r="M568" s="20" t="s">
        <v>173</v>
      </c>
      <c r="N568" s="25" t="s">
        <v>918</v>
      </c>
      <c r="O568" s="2">
        <v>0</v>
      </c>
      <c r="P568" s="2"/>
      <c r="Q568" s="3" t="b">
        <f t="shared" ref="Q568:Q575" si="413">getText(I568)=getText(M568)</f>
        <v>1</v>
      </c>
      <c r="R568" s="2" t="b">
        <f t="shared" ref="R568:R575" si="414">getText(J568)=getText(N568)</f>
        <v>1</v>
      </c>
      <c r="S568" s="2" t="b">
        <f t="shared" ref="S568:S575" si="415">getText(K568)=getText(O568)</f>
        <v>1</v>
      </c>
    </row>
    <row r="569" spans="2:19" x14ac:dyDescent="0.15">
      <c r="B569" s="23"/>
      <c r="D569" t="s">
        <v>47</v>
      </c>
      <c r="E569" s="9" t="s">
        <v>172</v>
      </c>
      <c r="F569" s="14" t="s">
        <v>15</v>
      </c>
      <c r="G569">
        <v>10</v>
      </c>
      <c r="H569" s="7">
        <v>0</v>
      </c>
      <c r="I569" s="1" t="str">
        <f t="shared" si="410"/>
        <v>01001</v>
      </c>
      <c r="J569" t="str">
        <f t="shared" si="411"/>
        <v>00000</v>
      </c>
      <c r="K569">
        <f t="shared" si="412"/>
        <v>0</v>
      </c>
      <c r="M569" s="21" t="s">
        <v>173</v>
      </c>
      <c r="N569" s="26" t="s">
        <v>918</v>
      </c>
      <c r="O569">
        <v>0</v>
      </c>
      <c r="Q569" s="1" t="b">
        <f t="shared" si="413"/>
        <v>1</v>
      </c>
      <c r="R569" t="b">
        <f t="shared" si="414"/>
        <v>1</v>
      </c>
      <c r="S569" t="b">
        <f t="shared" si="415"/>
        <v>1</v>
      </c>
    </row>
    <row r="570" spans="2:19" x14ac:dyDescent="0.15">
      <c r="B570" s="23"/>
      <c r="D570" t="s">
        <v>49</v>
      </c>
      <c r="E570" s="9" t="s">
        <v>172</v>
      </c>
      <c r="F570" s="14" t="s">
        <v>15</v>
      </c>
      <c r="G570">
        <v>16</v>
      </c>
      <c r="H570" s="7">
        <v>0</v>
      </c>
      <c r="I570" s="1" t="str">
        <f t="shared" si="410"/>
        <v>01001</v>
      </c>
      <c r="J570" t="str">
        <f t="shared" si="411"/>
        <v>00000</v>
      </c>
      <c r="K570">
        <f t="shared" si="412"/>
        <v>0</v>
      </c>
      <c r="M570" s="21" t="s">
        <v>173</v>
      </c>
      <c r="N570" s="26" t="s">
        <v>918</v>
      </c>
      <c r="O570">
        <v>0</v>
      </c>
      <c r="Q570" s="1" t="b">
        <f t="shared" si="413"/>
        <v>1</v>
      </c>
      <c r="R570" t="b">
        <f t="shared" si="414"/>
        <v>1</v>
      </c>
      <c r="S570" t="b">
        <f t="shared" si="415"/>
        <v>1</v>
      </c>
    </row>
    <row r="571" spans="2:19" x14ac:dyDescent="0.15">
      <c r="B571" s="23"/>
      <c r="C571" s="2" t="s">
        <v>86</v>
      </c>
      <c r="D571" s="2" t="s">
        <v>46</v>
      </c>
      <c r="E571" s="11" t="s">
        <v>174</v>
      </c>
      <c r="F571" s="13" t="s">
        <v>15</v>
      </c>
      <c r="G571" s="2">
        <v>2</v>
      </c>
      <c r="H571" s="2">
        <v>0</v>
      </c>
      <c r="I571" s="3" t="str">
        <f t="shared" si="410"/>
        <v>01001</v>
      </c>
      <c r="J571" s="2" t="str">
        <f t="shared" si="411"/>
        <v>00001</v>
      </c>
      <c r="K571" s="2">
        <f t="shared" si="412"/>
        <v>0</v>
      </c>
      <c r="L571" s="2"/>
      <c r="M571" s="20" t="s">
        <v>173</v>
      </c>
      <c r="N571" s="25" t="s">
        <v>501</v>
      </c>
      <c r="O571" s="2">
        <v>0</v>
      </c>
      <c r="P571" s="2"/>
      <c r="Q571" s="3" t="b">
        <f t="shared" si="413"/>
        <v>1</v>
      </c>
      <c r="R571" s="2" t="b">
        <f t="shared" si="414"/>
        <v>1</v>
      </c>
      <c r="S571" s="2" t="b">
        <f t="shared" si="415"/>
        <v>1</v>
      </c>
    </row>
    <row r="572" spans="2:19" x14ac:dyDescent="0.15">
      <c r="B572" s="23"/>
      <c r="D572" t="s">
        <v>47</v>
      </c>
      <c r="E572" s="9" t="s">
        <v>174</v>
      </c>
      <c r="F572" s="14" t="s">
        <v>15</v>
      </c>
      <c r="G572">
        <v>10</v>
      </c>
      <c r="H572" s="7">
        <v>0</v>
      </c>
      <c r="I572" s="1" t="str">
        <f t="shared" si="410"/>
        <v>01001</v>
      </c>
      <c r="J572" t="str">
        <f t="shared" si="411"/>
        <v>00001</v>
      </c>
      <c r="K572">
        <f t="shared" si="412"/>
        <v>0</v>
      </c>
      <c r="M572" s="21" t="s">
        <v>173</v>
      </c>
      <c r="N572" s="26" t="s">
        <v>501</v>
      </c>
      <c r="O572">
        <v>0</v>
      </c>
      <c r="Q572" s="1" t="b">
        <f t="shared" si="413"/>
        <v>1</v>
      </c>
      <c r="R572" t="b">
        <f t="shared" si="414"/>
        <v>1</v>
      </c>
      <c r="S572" t="b">
        <f t="shared" si="415"/>
        <v>1</v>
      </c>
    </row>
    <row r="573" spans="2:19" x14ac:dyDescent="0.15">
      <c r="D573" t="s">
        <v>49</v>
      </c>
      <c r="E573" s="9" t="s">
        <v>174</v>
      </c>
      <c r="F573" s="14" t="s">
        <v>15</v>
      </c>
      <c r="G573">
        <v>16</v>
      </c>
      <c r="H573" s="7">
        <v>0</v>
      </c>
      <c r="I573" s="1" t="str">
        <f t="shared" si="410"/>
        <v>01001</v>
      </c>
      <c r="J573" t="str">
        <f t="shared" si="411"/>
        <v>00001</v>
      </c>
      <c r="K573">
        <f t="shared" si="412"/>
        <v>0</v>
      </c>
      <c r="M573" s="21" t="s">
        <v>173</v>
      </c>
      <c r="N573" s="26" t="s">
        <v>501</v>
      </c>
      <c r="O573">
        <v>0</v>
      </c>
      <c r="Q573" s="1" t="b">
        <f t="shared" si="413"/>
        <v>1</v>
      </c>
      <c r="R573" t="b">
        <f t="shared" si="414"/>
        <v>1</v>
      </c>
      <c r="S573" t="b">
        <f t="shared" si="415"/>
        <v>1</v>
      </c>
    </row>
    <row r="574" spans="2:19" x14ac:dyDescent="0.15">
      <c r="C574" s="2" t="s">
        <v>96</v>
      </c>
      <c r="D574" s="2" t="s">
        <v>47</v>
      </c>
      <c r="E574" s="11" t="s">
        <v>175</v>
      </c>
      <c r="F574" s="13" t="s">
        <v>15</v>
      </c>
      <c r="G574" s="2">
        <v>10</v>
      </c>
      <c r="H574" s="24">
        <v>0</v>
      </c>
      <c r="I574" s="3" t="str">
        <f t="shared" si="410"/>
        <v>01001</v>
      </c>
      <c r="J574" s="2" t="str">
        <f t="shared" si="411"/>
        <v>00009</v>
      </c>
      <c r="K574" s="2">
        <f t="shared" si="412"/>
        <v>0</v>
      </c>
      <c r="L574" s="2"/>
      <c r="M574" s="20" t="s">
        <v>173</v>
      </c>
      <c r="N574" s="25" t="s">
        <v>919</v>
      </c>
      <c r="O574" s="2">
        <v>0</v>
      </c>
      <c r="P574" s="2"/>
      <c r="Q574" s="3" t="b">
        <f t="shared" si="413"/>
        <v>1</v>
      </c>
      <c r="R574" s="2" t="b">
        <f t="shared" si="414"/>
        <v>1</v>
      </c>
      <c r="S574" s="2" t="b">
        <f t="shared" si="415"/>
        <v>1</v>
      </c>
    </row>
    <row r="575" spans="2:19" x14ac:dyDescent="0.15">
      <c r="D575" t="s">
        <v>49</v>
      </c>
      <c r="E575" s="9" t="s">
        <v>176</v>
      </c>
      <c r="F575" s="14" t="s">
        <v>15</v>
      </c>
      <c r="G575">
        <v>16</v>
      </c>
      <c r="H575" s="7">
        <v>0</v>
      </c>
      <c r="I575" s="1" t="str">
        <f t="shared" si="410"/>
        <v>01001</v>
      </c>
      <c r="J575" t="str">
        <f t="shared" si="411"/>
        <v>0000F</v>
      </c>
      <c r="K575">
        <f t="shared" si="412"/>
        <v>0</v>
      </c>
      <c r="M575" s="21" t="s">
        <v>173</v>
      </c>
      <c r="N575" s="26" t="s">
        <v>920</v>
      </c>
      <c r="O575">
        <v>0</v>
      </c>
      <c r="Q575" s="1" t="b">
        <f t="shared" si="413"/>
        <v>1</v>
      </c>
      <c r="R575" t="b">
        <f t="shared" si="414"/>
        <v>1</v>
      </c>
      <c r="S575" t="b">
        <f t="shared" si="415"/>
        <v>1</v>
      </c>
    </row>
    <row r="576" spans="2:19" x14ac:dyDescent="0.15">
      <c r="B576" s="2" t="s">
        <v>75</v>
      </c>
      <c r="C576" s="2" t="s">
        <v>927</v>
      </c>
      <c r="D576" s="2" t="s">
        <v>46</v>
      </c>
      <c r="E576" s="11" t="s">
        <v>929</v>
      </c>
      <c r="F576" s="13" t="s">
        <v>18</v>
      </c>
      <c r="G576" s="2">
        <v>2</v>
      </c>
      <c r="H576" s="24">
        <v>-4</v>
      </c>
      <c r="I576" s="3" t="str">
        <f>TESTdivide(E576,F576,G576,H576)</f>
        <v>000</v>
      </c>
      <c r="J576" s="2" t="str">
        <f>TESTdivideByRef1(E576,F576,G576,H576)</f>
        <v>100</v>
      </c>
      <c r="K576" s="2">
        <f>TESTdivideByRef2(E576,F576,G576,H576)</f>
        <v>0</v>
      </c>
      <c r="L576" s="2"/>
      <c r="M576" s="20" t="s">
        <v>932</v>
      </c>
      <c r="N576" s="25" t="s">
        <v>21</v>
      </c>
      <c r="O576" s="2">
        <v>0</v>
      </c>
      <c r="P576" s="2"/>
      <c r="Q576" s="3" t="b">
        <f t="shared" ref="Q576:Q584" si="416">getText(I576)=getText(M576)</f>
        <v>1</v>
      </c>
      <c r="R576" s="2" t="b">
        <f t="shared" ref="R576:R584" si="417">getText(J576)=getText(N576)</f>
        <v>1</v>
      </c>
      <c r="S576" s="2" t="b">
        <f t="shared" ref="S576:S584" si="418">getText(K576)=getText(O576)</f>
        <v>1</v>
      </c>
    </row>
    <row r="577" spans="2:19" x14ac:dyDescent="0.15">
      <c r="D577" t="s">
        <v>47</v>
      </c>
      <c r="E577" s="9" t="s">
        <v>934</v>
      </c>
      <c r="F577" s="14" t="s">
        <v>80</v>
      </c>
      <c r="G577" s="7">
        <v>10</v>
      </c>
      <c r="H577" s="7">
        <v>-4</v>
      </c>
      <c r="I577" s="1" t="str">
        <f t="shared" ref="I577:I581" si="419">TESTdivide(E577,F577,G577,H577)</f>
        <v>000</v>
      </c>
      <c r="J577" t="str">
        <f t="shared" ref="J577:J581" si="420">TESTdivideByRef1(E577,F577,G577,H577)</f>
        <v>500</v>
      </c>
      <c r="K577">
        <f t="shared" ref="K577:K581" si="421">TESTdivideByRef2(E577,F577,G577,H577)</f>
        <v>0</v>
      </c>
      <c r="M577" s="21" t="s">
        <v>912</v>
      </c>
      <c r="N577" s="26" t="s">
        <v>934</v>
      </c>
      <c r="O577">
        <v>0</v>
      </c>
      <c r="Q577" s="1" t="b">
        <f t="shared" si="416"/>
        <v>1</v>
      </c>
      <c r="R577" t="b">
        <f t="shared" si="417"/>
        <v>1</v>
      </c>
      <c r="S577" t="b">
        <f t="shared" si="418"/>
        <v>1</v>
      </c>
    </row>
    <row r="578" spans="2:19" x14ac:dyDescent="0.15">
      <c r="D578" t="s">
        <v>48</v>
      </c>
      <c r="E578" s="9" t="s">
        <v>21</v>
      </c>
      <c r="F578" s="14" t="s">
        <v>98</v>
      </c>
      <c r="G578">
        <v>16</v>
      </c>
      <c r="H578" s="7">
        <v>-4</v>
      </c>
      <c r="I578" s="1" t="str">
        <f t="shared" si="419"/>
        <v>000</v>
      </c>
      <c r="J578" t="str">
        <f t="shared" si="420"/>
        <v>100</v>
      </c>
      <c r="K578">
        <f t="shared" si="421"/>
        <v>0</v>
      </c>
      <c r="M578" s="21" t="s">
        <v>912</v>
      </c>
      <c r="N578" s="26" t="s">
        <v>21</v>
      </c>
      <c r="O578">
        <v>0</v>
      </c>
      <c r="Q578" s="1" t="b">
        <f t="shared" si="416"/>
        <v>1</v>
      </c>
      <c r="R578" t="b">
        <f t="shared" si="417"/>
        <v>1</v>
      </c>
      <c r="S578" t="b">
        <f t="shared" si="418"/>
        <v>1</v>
      </c>
    </row>
    <row r="579" spans="2:19" x14ac:dyDescent="0.15">
      <c r="C579" s="2" t="s">
        <v>926</v>
      </c>
      <c r="D579" s="2" t="s">
        <v>46</v>
      </c>
      <c r="E579" s="11" t="s">
        <v>128</v>
      </c>
      <c r="F579" s="13" t="s">
        <v>114</v>
      </c>
      <c r="G579" s="2">
        <v>2</v>
      </c>
      <c r="H579" s="2">
        <v>-3</v>
      </c>
      <c r="I579" s="3" t="str">
        <f t="shared" si="419"/>
        <v>000</v>
      </c>
      <c r="J579" s="2" t="str">
        <f t="shared" si="420"/>
        <v>100</v>
      </c>
      <c r="K579" s="2">
        <f t="shared" si="421"/>
        <v>0</v>
      </c>
      <c r="L579" s="2"/>
      <c r="M579" s="3" t="s">
        <v>912</v>
      </c>
      <c r="N579" s="2" t="s">
        <v>21</v>
      </c>
      <c r="O579" s="2">
        <v>0</v>
      </c>
      <c r="P579" s="2"/>
      <c r="Q579" s="3" t="b">
        <f t="shared" si="416"/>
        <v>1</v>
      </c>
      <c r="R579" s="2" t="b">
        <f t="shared" si="417"/>
        <v>1</v>
      </c>
      <c r="S579" s="2" t="b">
        <f t="shared" si="418"/>
        <v>1</v>
      </c>
    </row>
    <row r="580" spans="2:19" x14ac:dyDescent="0.15">
      <c r="D580" t="s">
        <v>47</v>
      </c>
      <c r="E580" s="9" t="s">
        <v>934</v>
      </c>
      <c r="F580" s="14" t="s">
        <v>80</v>
      </c>
      <c r="G580">
        <v>10</v>
      </c>
      <c r="H580" s="7">
        <v>-3</v>
      </c>
      <c r="I580" s="1" t="str">
        <f t="shared" si="419"/>
        <v>000</v>
      </c>
      <c r="J580" t="str">
        <f t="shared" si="420"/>
        <v>500</v>
      </c>
      <c r="K580">
        <f t="shared" si="421"/>
        <v>0</v>
      </c>
      <c r="M580" s="21" t="s">
        <v>912</v>
      </c>
      <c r="N580" s="26" t="s">
        <v>934</v>
      </c>
      <c r="O580">
        <v>0</v>
      </c>
      <c r="Q580" s="1" t="b">
        <f t="shared" si="416"/>
        <v>1</v>
      </c>
      <c r="R580" t="b">
        <f t="shared" si="417"/>
        <v>1</v>
      </c>
      <c r="S580" t="b">
        <f t="shared" si="418"/>
        <v>1</v>
      </c>
    </row>
    <row r="581" spans="2:19" x14ac:dyDescent="0.15">
      <c r="D581" t="s">
        <v>48</v>
      </c>
      <c r="E581" s="9" t="s">
        <v>21</v>
      </c>
      <c r="F581" s="14" t="s">
        <v>98</v>
      </c>
      <c r="G581">
        <v>16</v>
      </c>
      <c r="H581" s="7">
        <v>-3</v>
      </c>
      <c r="I581" s="1" t="str">
        <f t="shared" si="419"/>
        <v>000</v>
      </c>
      <c r="J581" t="str">
        <f t="shared" si="420"/>
        <v>100</v>
      </c>
      <c r="K581">
        <f t="shared" si="421"/>
        <v>0</v>
      </c>
      <c r="M581" s="21" t="s">
        <v>912</v>
      </c>
      <c r="N581" s="26" t="s">
        <v>21</v>
      </c>
      <c r="O581">
        <v>0</v>
      </c>
      <c r="Q581" s="1" t="b">
        <f t="shared" si="416"/>
        <v>1</v>
      </c>
      <c r="R581" t="b">
        <f t="shared" si="417"/>
        <v>1</v>
      </c>
      <c r="S581" t="b">
        <f t="shared" si="418"/>
        <v>1</v>
      </c>
    </row>
    <row r="582" spans="2:19" x14ac:dyDescent="0.15">
      <c r="C582" s="2" t="s">
        <v>928</v>
      </c>
      <c r="D582" s="2" t="s">
        <v>46</v>
      </c>
      <c r="E582" s="11" t="s">
        <v>128</v>
      </c>
      <c r="F582" s="13" t="s">
        <v>114</v>
      </c>
      <c r="G582" s="2">
        <v>2</v>
      </c>
      <c r="H582" s="2">
        <v>-2</v>
      </c>
      <c r="I582" s="3" t="str">
        <f t="shared" ref="I582:I587" si="422">TESTdivide(E582,F582,G582,H582)</f>
        <v>000</v>
      </c>
      <c r="J582" s="2" t="str">
        <f>TESTdivideByRef1(E582,F582,G582,H582)</f>
        <v>100</v>
      </c>
      <c r="K582" s="2">
        <f>TESTdivideByRef2(E582,F582,G582,H582)</f>
        <v>0</v>
      </c>
      <c r="L582" s="2"/>
      <c r="M582" s="3" t="s">
        <v>912</v>
      </c>
      <c r="N582" s="2" t="s">
        <v>21</v>
      </c>
      <c r="O582" s="2">
        <v>0</v>
      </c>
      <c r="P582" s="2"/>
      <c r="Q582" s="3" t="b">
        <f t="shared" si="416"/>
        <v>1</v>
      </c>
      <c r="R582" s="2" t="b">
        <f t="shared" si="417"/>
        <v>1</v>
      </c>
      <c r="S582" s="2" t="b">
        <f t="shared" si="418"/>
        <v>1</v>
      </c>
    </row>
    <row r="583" spans="2:19" x14ac:dyDescent="0.15">
      <c r="D583" t="s">
        <v>47</v>
      </c>
      <c r="E583" s="9" t="s">
        <v>420</v>
      </c>
      <c r="F583" s="17" t="s">
        <v>179</v>
      </c>
      <c r="G583">
        <v>10</v>
      </c>
      <c r="H583" s="7">
        <v>-2</v>
      </c>
      <c r="I583" s="1" t="str">
        <f t="shared" si="422"/>
        <v>100</v>
      </c>
      <c r="J583" t="str">
        <f>TESTdivideByRef1(E583,F583,G583,H583)</f>
        <v>200</v>
      </c>
      <c r="K583">
        <f>TESTdivideByRef2(E583,F583,G583,H583)</f>
        <v>0</v>
      </c>
      <c r="M583" s="1" t="s">
        <v>21</v>
      </c>
      <c r="N583" t="s">
        <v>775</v>
      </c>
      <c r="O583">
        <v>0</v>
      </c>
      <c r="Q583" s="1" t="b">
        <f t="shared" si="416"/>
        <v>1</v>
      </c>
      <c r="R583" t="b">
        <f t="shared" si="417"/>
        <v>1</v>
      </c>
      <c r="S583" t="b">
        <f t="shared" si="418"/>
        <v>1</v>
      </c>
    </row>
    <row r="584" spans="2:19" x14ac:dyDescent="0.15">
      <c r="D584" t="s">
        <v>48</v>
      </c>
      <c r="E584" s="9" t="s">
        <v>21</v>
      </c>
      <c r="F584" s="17" t="s">
        <v>98</v>
      </c>
      <c r="G584">
        <v>16</v>
      </c>
      <c r="H584" s="7">
        <v>-2</v>
      </c>
      <c r="I584" s="1" t="str">
        <f t="shared" si="422"/>
        <v>000</v>
      </c>
      <c r="J584" t="str">
        <f t="shared" ref="J584" si="423">TESTdivideByRef1(E584,F584,G584,H584)</f>
        <v>100</v>
      </c>
      <c r="K584">
        <f t="shared" ref="K584" si="424">TESTdivideByRef2(E584,F584,G584,H584)</f>
        <v>0</v>
      </c>
      <c r="M584" s="1" t="s">
        <v>912</v>
      </c>
      <c r="N584" t="s">
        <v>21</v>
      </c>
      <c r="O584">
        <v>0</v>
      </c>
      <c r="Q584" s="1" t="b">
        <f t="shared" si="416"/>
        <v>1</v>
      </c>
      <c r="R584" t="b">
        <f t="shared" si="417"/>
        <v>1</v>
      </c>
      <c r="S584" t="b">
        <f t="shared" si="418"/>
        <v>1</v>
      </c>
    </row>
    <row r="585" spans="2:19" x14ac:dyDescent="0.15">
      <c r="B585" s="6"/>
      <c r="C585" s="2" t="s">
        <v>925</v>
      </c>
      <c r="D585" s="2" t="s">
        <v>46</v>
      </c>
      <c r="E585" s="11" t="s">
        <v>128</v>
      </c>
      <c r="F585" s="13" t="s">
        <v>114</v>
      </c>
      <c r="G585" s="2">
        <v>2</v>
      </c>
      <c r="H585" s="2">
        <v>-1</v>
      </c>
      <c r="I585" s="3" t="str">
        <f t="shared" si="422"/>
        <v>000</v>
      </c>
      <c r="J585" s="2" t="str">
        <f>TESTdivideByRef1(E585,F585,G585,H585)</f>
        <v>100</v>
      </c>
      <c r="K585" s="2">
        <f>TESTdivideByRef2(E585,F585,G585,H585)</f>
        <v>0</v>
      </c>
      <c r="L585" s="2"/>
      <c r="M585" s="3" t="s">
        <v>912</v>
      </c>
      <c r="N585" s="2" t="s">
        <v>21</v>
      </c>
      <c r="O585" s="2">
        <v>0</v>
      </c>
      <c r="P585" s="2"/>
      <c r="Q585" s="3" t="b">
        <f t="shared" ref="Q585:Q587" si="425">getText(I585)=getText(M585)</f>
        <v>1</v>
      </c>
      <c r="R585" s="2" t="b">
        <f t="shared" ref="R585:R587" si="426">getText(J585)=getText(N585)</f>
        <v>1</v>
      </c>
      <c r="S585" s="2" t="b">
        <f t="shared" ref="S585:S587" si="427">getText(K585)=getText(O585)</f>
        <v>1</v>
      </c>
    </row>
    <row r="586" spans="2:19" x14ac:dyDescent="0.15">
      <c r="D586" t="s">
        <v>47</v>
      </c>
      <c r="E586" s="9" t="s">
        <v>21</v>
      </c>
      <c r="F586" s="17" t="s">
        <v>80</v>
      </c>
      <c r="G586">
        <v>10</v>
      </c>
      <c r="H586" s="7">
        <v>-1</v>
      </c>
      <c r="I586" s="1" t="str">
        <f t="shared" si="422"/>
        <v>030</v>
      </c>
      <c r="J586" t="str">
        <f>TESTdivideByRef1(E586,F586,G586,H586)</f>
        <v>010</v>
      </c>
      <c r="K586">
        <f>TESTdivideByRef2(E586,F586,G586,H586)</f>
        <v>0</v>
      </c>
      <c r="M586" s="1" t="s">
        <v>931</v>
      </c>
      <c r="N586" t="s">
        <v>78</v>
      </c>
      <c r="O586">
        <v>0</v>
      </c>
      <c r="Q586" s="1" t="b">
        <f t="shared" si="425"/>
        <v>1</v>
      </c>
      <c r="R586" t="b">
        <f t="shared" si="426"/>
        <v>1</v>
      </c>
      <c r="S586" t="b">
        <f t="shared" si="427"/>
        <v>1</v>
      </c>
    </row>
    <row r="587" spans="2:19" x14ac:dyDescent="0.15">
      <c r="D587" t="s">
        <v>48</v>
      </c>
      <c r="E587" s="9" t="s">
        <v>21</v>
      </c>
      <c r="F587" s="17" t="s">
        <v>98</v>
      </c>
      <c r="G587">
        <v>16</v>
      </c>
      <c r="H587" s="7">
        <v>-1</v>
      </c>
      <c r="I587" s="1" t="str">
        <f t="shared" si="422"/>
        <v>010</v>
      </c>
      <c r="J587" t="str">
        <f t="shared" ref="J587" si="428">TESTdivideByRef1(E587,F587,G587,H587)</f>
        <v>010</v>
      </c>
      <c r="K587">
        <f t="shared" ref="K587" si="429">TESTdivideByRef2(E587,F587,G587,H587)</f>
        <v>0</v>
      </c>
      <c r="M587" s="1" t="s">
        <v>78</v>
      </c>
      <c r="N587" t="s">
        <v>78</v>
      </c>
      <c r="O587">
        <v>0</v>
      </c>
      <c r="Q587" s="1" t="b">
        <f t="shared" si="425"/>
        <v>1</v>
      </c>
      <c r="R587" t="b">
        <f t="shared" si="426"/>
        <v>1</v>
      </c>
      <c r="S587" t="b">
        <f t="shared" si="427"/>
        <v>1</v>
      </c>
    </row>
    <row r="588" spans="2:19" x14ac:dyDescent="0.15">
      <c r="C588" s="2" t="s">
        <v>76</v>
      </c>
      <c r="D588" s="2" t="s">
        <v>46</v>
      </c>
      <c r="E588" s="11" t="s">
        <v>128</v>
      </c>
      <c r="F588" s="13" t="s">
        <v>114</v>
      </c>
      <c r="G588" s="2">
        <v>2</v>
      </c>
      <c r="H588" s="2">
        <v>0</v>
      </c>
      <c r="I588" s="3" t="str">
        <f t="shared" ref="I588" si="430">TESTdivide(E588,F588,G588,H588)</f>
        <v>001</v>
      </c>
      <c r="J588" s="2" t="str">
        <f t="shared" ref="J588" si="431">TESTdivideByRef1(E588,F588,G588,H588)</f>
        <v>001</v>
      </c>
      <c r="K588" s="2">
        <f t="shared" ref="K588" si="432">TESTdivideByRef2(E588,F588,G588,H588)</f>
        <v>0</v>
      </c>
      <c r="L588" s="2"/>
      <c r="M588" s="3" t="s">
        <v>81</v>
      </c>
      <c r="N588" s="2" t="s">
        <v>81</v>
      </c>
      <c r="O588" s="2">
        <v>0</v>
      </c>
      <c r="P588" s="2"/>
      <c r="Q588" s="3" t="b">
        <f t="shared" ref="Q588:Q589" si="433">getText(I588)=getText(M588)</f>
        <v>1</v>
      </c>
      <c r="R588" s="2" t="b">
        <f t="shared" ref="R588:R589" si="434">getText(J588)=getText(N588)</f>
        <v>1</v>
      </c>
      <c r="S588" s="2" t="b">
        <f t="shared" ref="S588:S589" si="435">getText(K588)=getText(O588)</f>
        <v>1</v>
      </c>
    </row>
    <row r="589" spans="2:19" x14ac:dyDescent="0.15">
      <c r="D589" t="s">
        <v>47</v>
      </c>
      <c r="E589" s="9" t="s">
        <v>128</v>
      </c>
      <c r="F589" s="17" t="s">
        <v>179</v>
      </c>
      <c r="G589">
        <v>10</v>
      </c>
      <c r="H589" s="7">
        <v>0</v>
      </c>
      <c r="I589" s="1" t="str">
        <f>TESTdivide(E589,F589,G589,H589)</f>
        <v>033</v>
      </c>
      <c r="J589" t="str">
        <f t="shared" ref="J589" si="436">TESTdivideByRef1(E589,F589,G589,H589)</f>
        <v>001</v>
      </c>
      <c r="K589">
        <f t="shared" ref="K589" si="437">TESTdivideByRef2(E589,F589,G589,H589)</f>
        <v>0</v>
      </c>
      <c r="M589" s="1" t="s">
        <v>930</v>
      </c>
      <c r="N589" t="s">
        <v>81</v>
      </c>
      <c r="O589">
        <v>0</v>
      </c>
      <c r="Q589" s="1" t="b">
        <f t="shared" si="433"/>
        <v>1</v>
      </c>
      <c r="R589" t="b">
        <f t="shared" si="434"/>
        <v>1</v>
      </c>
      <c r="S589" t="b">
        <f t="shared" si="435"/>
        <v>1</v>
      </c>
    </row>
    <row r="590" spans="2:19" x14ac:dyDescent="0.15">
      <c r="D590" t="s">
        <v>49</v>
      </c>
      <c r="E590" s="9" t="s">
        <v>128</v>
      </c>
      <c r="F590" s="17" t="s">
        <v>181</v>
      </c>
      <c r="G590">
        <v>16</v>
      </c>
      <c r="H590" s="7">
        <v>0</v>
      </c>
      <c r="I590" s="1" t="str">
        <f t="shared" ref="I590" si="438">TESTdivide(E590,F590,G590,H590)</f>
        <v>011</v>
      </c>
      <c r="J590" t="str">
        <f>TESTdivideByRef1(E590,F590,G590,H590)</f>
        <v>001</v>
      </c>
      <c r="K590">
        <f t="shared" ref="K590" si="439">TESTdivideByRef2(E590,F590,G590,H590)</f>
        <v>0</v>
      </c>
      <c r="M590" s="1" t="s">
        <v>77</v>
      </c>
      <c r="N590" t="s">
        <v>81</v>
      </c>
      <c r="O590">
        <v>0</v>
      </c>
      <c r="Q590" s="1" t="b">
        <f t="shared" ref="Q590:Q591" si="440">getText(I590)=getText(M590)</f>
        <v>1</v>
      </c>
      <c r="R590" t="b">
        <f t="shared" ref="R590:R591" si="441">getText(J590)=getText(N590)</f>
        <v>1</v>
      </c>
      <c r="S590" t="b">
        <f t="shared" ref="S590:S591" si="442">getText(K590)=getText(O590)</f>
        <v>1</v>
      </c>
    </row>
    <row r="591" spans="2:19" x14ac:dyDescent="0.15">
      <c r="C591" s="2" t="s">
        <v>178</v>
      </c>
      <c r="D591" s="2" t="s">
        <v>191</v>
      </c>
      <c r="E591" s="11" t="s">
        <v>15</v>
      </c>
      <c r="F591" s="13" t="s">
        <v>18</v>
      </c>
      <c r="G591" s="2">
        <v>2</v>
      </c>
      <c r="H591" s="2">
        <v>1</v>
      </c>
      <c r="I591" s="3" t="str">
        <f t="shared" ref="I591:I594" si="443">TESTdivide(E591,F591,G591,H591)</f>
        <v>001</v>
      </c>
      <c r="J591" s="2" t="str">
        <f t="shared" ref="J591:J594" si="444">TESTdivideByRef1(E591,F591,G591,H591)</f>
        <v>001</v>
      </c>
      <c r="K591" s="2">
        <f t="shared" ref="K591:K594" si="445">TESTdivideByRef2(E591,F591,G591,H591)</f>
        <v>0</v>
      </c>
      <c r="L591" s="2"/>
      <c r="M591" s="3" t="s">
        <v>81</v>
      </c>
      <c r="N591" s="22" t="s">
        <v>81</v>
      </c>
      <c r="O591" s="2">
        <v>0</v>
      </c>
      <c r="P591" s="2"/>
      <c r="Q591" s="3" t="b">
        <f t="shared" si="440"/>
        <v>1</v>
      </c>
      <c r="R591" s="2" t="b">
        <f t="shared" si="441"/>
        <v>1</v>
      </c>
      <c r="S591" s="2" t="b">
        <f t="shared" si="442"/>
        <v>1</v>
      </c>
    </row>
    <row r="592" spans="2:19" x14ac:dyDescent="0.15">
      <c r="C592" s="6"/>
      <c r="D592" s="7" t="s">
        <v>192</v>
      </c>
      <c r="E592" s="9" t="s">
        <v>15</v>
      </c>
      <c r="F592" s="14" t="s">
        <v>18</v>
      </c>
      <c r="G592" s="6">
        <v>2</v>
      </c>
      <c r="H592" s="6">
        <v>2</v>
      </c>
      <c r="I592" s="1" t="str">
        <f t="shared" ref="I592" si="446">TESTdivide(E592,F592,G592,H592)</f>
        <v>0010</v>
      </c>
      <c r="J592" s="6" t="str">
        <f t="shared" ref="J592" si="447">TESTdivideByRef1(E592,F592,G592,H592)</f>
        <v>0010</v>
      </c>
      <c r="K592" s="6">
        <f t="shared" ref="K592" si="448">TESTdivideByRef2(E592,F592,G592,H592)</f>
        <v>0</v>
      </c>
      <c r="L592" s="6"/>
      <c r="M592" s="1" t="s">
        <v>79</v>
      </c>
      <c r="N592" s="27" t="s">
        <v>79</v>
      </c>
      <c r="O592" s="6">
        <v>0</v>
      </c>
      <c r="P592" s="6"/>
      <c r="Q592" s="1" t="b">
        <f t="shared" ref="Q592:Q593" si="449">getText(I592)=getText(M592)</f>
        <v>1</v>
      </c>
      <c r="R592" s="6" t="b">
        <f t="shared" ref="R592:R593" si="450">getText(J592)=getText(N592)</f>
        <v>1</v>
      </c>
      <c r="S592" s="6" t="b">
        <f t="shared" ref="S592:S593" si="451">getText(K592)=getText(O592)</f>
        <v>1</v>
      </c>
    </row>
    <row r="593" spans="2:19" x14ac:dyDescent="0.15">
      <c r="D593" t="s">
        <v>47</v>
      </c>
      <c r="E593" s="9" t="s">
        <v>44</v>
      </c>
      <c r="F593" s="17" t="s">
        <v>80</v>
      </c>
      <c r="G593">
        <v>10</v>
      </c>
      <c r="H593" s="7">
        <v>1</v>
      </c>
      <c r="I593" s="1" t="str">
        <f t="shared" si="443"/>
        <v>03</v>
      </c>
      <c r="J593" t="str">
        <f t="shared" si="444"/>
        <v>01</v>
      </c>
      <c r="K593">
        <f t="shared" si="445"/>
        <v>0</v>
      </c>
      <c r="M593" s="1" t="s">
        <v>189</v>
      </c>
      <c r="N593" s="23" t="s">
        <v>231</v>
      </c>
      <c r="O593">
        <v>0</v>
      </c>
      <c r="Q593" s="1" t="b">
        <f t="shared" si="449"/>
        <v>1</v>
      </c>
      <c r="R593" t="b">
        <f t="shared" si="450"/>
        <v>1</v>
      </c>
      <c r="S593" t="b">
        <f t="shared" si="451"/>
        <v>1</v>
      </c>
    </row>
    <row r="594" spans="2:19" x14ac:dyDescent="0.15">
      <c r="D594" t="s">
        <v>49</v>
      </c>
      <c r="E594" s="9" t="s">
        <v>82</v>
      </c>
      <c r="F594" s="17" t="s">
        <v>98</v>
      </c>
      <c r="G594">
        <v>16</v>
      </c>
      <c r="H594" s="7">
        <v>1</v>
      </c>
      <c r="I594" s="1" t="str">
        <f t="shared" si="443"/>
        <v>05</v>
      </c>
      <c r="J594" t="str">
        <f t="shared" si="444"/>
        <v>05</v>
      </c>
      <c r="K594">
        <f t="shared" si="445"/>
        <v>0</v>
      </c>
      <c r="M594" s="1" t="s">
        <v>190</v>
      </c>
      <c r="N594" s="23" t="s">
        <v>190</v>
      </c>
      <c r="O594">
        <v>0</v>
      </c>
      <c r="Q594" s="1" t="b">
        <f t="shared" ref="Q594" si="452">getText(I594)=getText(M594)</f>
        <v>1</v>
      </c>
      <c r="R594" t="b">
        <f t="shared" ref="R594" si="453">getText(J594)=getText(N594)</f>
        <v>1</v>
      </c>
      <c r="S594" t="b">
        <f t="shared" ref="S594" si="454">getText(K594)=getText(O594)</f>
        <v>1</v>
      </c>
    </row>
    <row r="595" spans="2:19" x14ac:dyDescent="0.15">
      <c r="C595" s="2" t="s">
        <v>177</v>
      </c>
      <c r="D595" s="2" t="s">
        <v>187</v>
      </c>
      <c r="E595" s="11" t="s">
        <v>113</v>
      </c>
      <c r="F595" s="13" t="s">
        <v>114</v>
      </c>
      <c r="G595" s="2">
        <v>2</v>
      </c>
      <c r="H595" s="2">
        <v>255</v>
      </c>
      <c r="I595" s="3" t="str">
        <f>TESTdivide(E595,F595,G595,H595)</f>
        <v>00101010101010101010101010101010101010101010101010101010101010101010101010101010101010101010101010101010101010101010101010101010101010101010101010101010101010101010101010101010101010101010101010101010101010101010101010101010101010101010101010101010101010101</v>
      </c>
      <c r="J595" s="2" t="str">
        <f>TESTdivideByRef1(E595,F595,G595,H595)</f>
        <v>00000000000000000000000000000000000000000000000000000000000000000000000000000000000000000000000000000000000000000000000000000000000000000000000000000000000000000000000000000000000000000000000000000000000000000000000000000000000000000000000000000000000000001</v>
      </c>
      <c r="K595" s="2">
        <f>TESTdivideByRef2(E595,F595,G595,H595)</f>
        <v>0</v>
      </c>
      <c r="L595" s="2"/>
      <c r="M595" s="3" t="s">
        <v>182</v>
      </c>
      <c r="N595" s="2" t="s">
        <v>921</v>
      </c>
      <c r="O595" s="2">
        <v>0</v>
      </c>
      <c r="P595" s="2"/>
      <c r="Q595" s="3" t="b">
        <f t="shared" ref="Q595:Q598" si="455">getText(I595)=getText(M595)</f>
        <v>1</v>
      </c>
      <c r="R595" s="2" t="b">
        <f t="shared" ref="R595:R598" si="456">getText(J595)=getText(N595)</f>
        <v>1</v>
      </c>
      <c r="S595" s="2" t="b">
        <f t="shared" ref="S595:S598" si="457">getText(K595)=getText(O595)</f>
        <v>1</v>
      </c>
    </row>
    <row r="596" spans="2:19" x14ac:dyDescent="0.15">
      <c r="C596" s="6"/>
      <c r="D596" s="7" t="s">
        <v>186</v>
      </c>
      <c r="E596" s="9" t="s">
        <v>15</v>
      </c>
      <c r="F596" s="14" t="s">
        <v>18</v>
      </c>
      <c r="G596" s="6">
        <v>2</v>
      </c>
      <c r="H596" s="6">
        <v>256</v>
      </c>
      <c r="I596" s="1" t="str">
        <f t="shared" ref="I596" si="458">TESTdivide(E596,F596,G596,H596)</f>
        <v>001010101010101010101010101010101010101010101010101010101010101010101010101010101010101010101010101010101010101010101010101010101010101010101010101010101010101010101010101010101010101010101010101010101010101010101010101010101010101010101010101010101010101010</v>
      </c>
      <c r="J596" s="6" t="str">
        <f t="shared" ref="J596" si="459">TESTdivideByRef1(E596,F596,G596,H596)</f>
        <v>000000000000000000000000000000000000000000000000000000000000000000000000000000000000000000000000000000000000000000000000000000000000000000000000000000000000000000000000000000000000000000000000000000000000000000000000000000000000000000000000000000000000000010</v>
      </c>
      <c r="K596" s="6">
        <f t="shared" ref="K596" si="460">TESTdivideByRef2(E596,F596,G596,H596)</f>
        <v>0</v>
      </c>
      <c r="L596" s="6"/>
      <c r="M596" s="1" t="s">
        <v>185</v>
      </c>
      <c r="N596" s="6" t="s">
        <v>922</v>
      </c>
      <c r="O596" s="6">
        <v>0</v>
      </c>
      <c r="P596" s="6"/>
      <c r="Q596" s="1" t="b">
        <f t="shared" ref="Q596" si="461">getText(I596)=getText(M596)</f>
        <v>1</v>
      </c>
      <c r="R596" s="6" t="b">
        <f t="shared" ref="R596" si="462">getText(J596)=getText(N596)</f>
        <v>1</v>
      </c>
      <c r="S596" s="6" t="b">
        <f t="shared" ref="S596" si="463">getText(K596)=getText(O596)</f>
        <v>1</v>
      </c>
    </row>
    <row r="597" spans="2:19" x14ac:dyDescent="0.15">
      <c r="D597" t="s">
        <v>47</v>
      </c>
      <c r="E597" s="9" t="s">
        <v>183</v>
      </c>
      <c r="F597" s="17" t="s">
        <v>179</v>
      </c>
      <c r="G597">
        <v>10</v>
      </c>
      <c r="H597" s="7">
        <v>255</v>
      </c>
      <c r="I597" s="1" t="str">
        <f>TESTdivide(E597,F597,G597,H597)</f>
        <v>0333333333333333333333333333333333333333333333333333333333333333333333333333333333333333333333333333333333333333333333333333333333333333333333333333333333333333333333333333333333333333333333333333333333333333333333333333333333333333333333333333333333333333</v>
      </c>
      <c r="J597" t="str">
        <f>TESTdivideByRef1(E597,F597,G597,H597)</f>
        <v>0000000000000000000000000000000000000000000000000000000000000000000000000000000000000000000000000000000000000000000000000000000000000000000000000000000000000000000000000000000000000000000000000000000000000000000000000000000000000000000000000000000000000001</v>
      </c>
      <c r="K597">
        <f>TESTdivideByRef2(E597,F597,G597,H597)</f>
        <v>0</v>
      </c>
      <c r="M597" s="1" t="s">
        <v>184</v>
      </c>
      <c r="N597" t="s">
        <v>923</v>
      </c>
      <c r="O597">
        <v>0</v>
      </c>
      <c r="Q597" s="1" t="b">
        <f t="shared" si="455"/>
        <v>1</v>
      </c>
      <c r="R597" t="b">
        <f t="shared" si="456"/>
        <v>1</v>
      </c>
      <c r="S597" t="b">
        <f t="shared" si="457"/>
        <v>1</v>
      </c>
    </row>
    <row r="598" spans="2:19" x14ac:dyDescent="0.15">
      <c r="D598" t="s">
        <v>49</v>
      </c>
      <c r="E598" s="9" t="s">
        <v>180</v>
      </c>
      <c r="F598" s="17" t="s">
        <v>181</v>
      </c>
      <c r="G598">
        <v>16</v>
      </c>
      <c r="H598" s="7">
        <v>255</v>
      </c>
      <c r="I598" s="1" t="str">
        <f>TESTdivide(E598,F598,G598,H598)</f>
        <v>0555555555555555555555555555555555555555555555555555555555555555555555555555555555555555555555555555555555555555555555555555555555555555555555555555555555555555555555555555555555555555555555555555555555555555555555555555555555555555555555555555555555555555</v>
      </c>
      <c r="J598" t="str">
        <f>TESTdivideByRef1(E598,F598,G598,H598)</f>
        <v>0000000000000000000000000000000000000000000000000000000000000000000000000000000000000000000000000000000000000000000000000000000000000000000000000000000000000000000000000000000000000000000000000000000000000000000000000000000000000000000000000000000000000005</v>
      </c>
      <c r="K598">
        <f>TESTdivideByRef2(E598,F598,G598,H598)</f>
        <v>0</v>
      </c>
      <c r="M598" s="1" t="s">
        <v>188</v>
      </c>
      <c r="N598" t="s">
        <v>924</v>
      </c>
      <c r="O598">
        <v>0</v>
      </c>
      <c r="Q598" s="1" t="b">
        <f t="shared" si="455"/>
        <v>1</v>
      </c>
      <c r="R598" t="b">
        <f t="shared" si="456"/>
        <v>1</v>
      </c>
      <c r="S598" t="b">
        <f t="shared" si="457"/>
        <v>1</v>
      </c>
    </row>
    <row r="599" spans="2:19" x14ac:dyDescent="0.15">
      <c r="B599" s="2" t="s">
        <v>935</v>
      </c>
      <c r="C599" s="2" t="s">
        <v>178</v>
      </c>
      <c r="D599" s="2" t="s">
        <v>46</v>
      </c>
      <c r="E599" s="11" t="s">
        <v>929</v>
      </c>
      <c r="F599" s="13" t="s">
        <v>936</v>
      </c>
      <c r="G599" s="2">
        <v>2</v>
      </c>
      <c r="H599" s="24">
        <v>0</v>
      </c>
      <c r="I599" s="3" t="str">
        <f t="shared" ref="I599" si="464">TESTdivide(E599,F599,G599,H599)</f>
        <v>001</v>
      </c>
      <c r="J599" s="2" t="str">
        <f t="shared" ref="J599" si="465">TESTdivideByRef1(E599,F599,G599,H599)</f>
        <v>001</v>
      </c>
      <c r="K599" s="2">
        <f t="shared" ref="K599" si="466">TESTdivideByRef2(E599,F599,G599,H599)</f>
        <v>0</v>
      </c>
      <c r="L599" s="2"/>
      <c r="M599" s="3" t="s">
        <v>81</v>
      </c>
      <c r="N599" s="2" t="s">
        <v>81</v>
      </c>
      <c r="O599" s="2">
        <v>0</v>
      </c>
      <c r="P599" s="2"/>
      <c r="Q599" s="3" t="b">
        <f t="shared" ref="Q599:Q601" si="467">getText(I599)=getText(M599)</f>
        <v>1</v>
      </c>
      <c r="R599" s="2" t="b">
        <f t="shared" ref="R599:R601" si="468">getText(J599)=getText(N599)</f>
        <v>1</v>
      </c>
      <c r="S599" s="2" t="b">
        <f t="shared" ref="S599:S601" si="469">getText(K599)=getText(O599)</f>
        <v>1</v>
      </c>
    </row>
    <row r="600" spans="2:19" x14ac:dyDescent="0.15">
      <c r="D600" t="s">
        <v>47</v>
      </c>
      <c r="E600" s="9" t="s">
        <v>929</v>
      </c>
      <c r="F600" s="17" t="s">
        <v>933</v>
      </c>
      <c r="G600" s="7">
        <v>10</v>
      </c>
      <c r="H600" s="7">
        <v>0</v>
      </c>
      <c r="I600" s="1" t="str">
        <f t="shared" ref="I600:I602" si="470">TESTdivide(E600,F600,G600,H600)</f>
        <v>033</v>
      </c>
      <c r="J600" t="str">
        <f t="shared" ref="J600:J602" si="471">TESTdivideByRef1(E600,F600,G600,H600)</f>
        <v>001</v>
      </c>
      <c r="K600">
        <f t="shared" ref="K600:K602" si="472">TESTdivideByRef2(E600,F600,G600,H600)</f>
        <v>0</v>
      </c>
      <c r="M600" s="1" t="s">
        <v>930</v>
      </c>
      <c r="N600" t="s">
        <v>81</v>
      </c>
      <c r="O600">
        <v>0</v>
      </c>
      <c r="Q600" s="1" t="b">
        <f t="shared" si="467"/>
        <v>1</v>
      </c>
      <c r="R600" t="b">
        <f t="shared" si="468"/>
        <v>1</v>
      </c>
      <c r="S600" t="b">
        <f t="shared" si="469"/>
        <v>1</v>
      </c>
    </row>
    <row r="601" spans="2:19" x14ac:dyDescent="0.15">
      <c r="D601" t="s">
        <v>49</v>
      </c>
      <c r="E601" s="9" t="s">
        <v>929</v>
      </c>
      <c r="F601" s="17" t="s">
        <v>937</v>
      </c>
      <c r="G601" s="7">
        <v>16</v>
      </c>
      <c r="H601" s="7">
        <v>0</v>
      </c>
      <c r="I601" s="1" t="str">
        <f t="shared" si="470"/>
        <v>017</v>
      </c>
      <c r="J601" t="str">
        <f t="shared" si="471"/>
        <v>003</v>
      </c>
      <c r="K601">
        <f t="shared" si="472"/>
        <v>0</v>
      </c>
      <c r="M601" s="1" t="s">
        <v>938</v>
      </c>
      <c r="N601" t="s">
        <v>939</v>
      </c>
      <c r="O601">
        <v>0</v>
      </c>
      <c r="Q601" s="1" t="b">
        <f t="shared" si="467"/>
        <v>1</v>
      </c>
      <c r="R601" t="b">
        <f t="shared" si="468"/>
        <v>1</v>
      </c>
      <c r="S601" t="b">
        <f t="shared" si="469"/>
        <v>1</v>
      </c>
    </row>
    <row r="602" spans="2:19" x14ac:dyDescent="0.15">
      <c r="C602" s="2" t="s">
        <v>694</v>
      </c>
      <c r="D602" s="2" t="s">
        <v>46</v>
      </c>
      <c r="E602" s="11" t="s">
        <v>940</v>
      </c>
      <c r="F602" s="13" t="s">
        <v>941</v>
      </c>
      <c r="G602" s="2">
        <v>2</v>
      </c>
      <c r="H602" s="24">
        <v>0</v>
      </c>
      <c r="I602" s="3" t="str">
        <f t="shared" si="470"/>
        <v>0001</v>
      </c>
      <c r="J602" s="2" t="str">
        <f t="shared" si="471"/>
        <v>0011</v>
      </c>
      <c r="K602" s="2">
        <f t="shared" si="472"/>
        <v>0</v>
      </c>
      <c r="L602" s="2"/>
      <c r="M602" s="3" t="s">
        <v>429</v>
      </c>
      <c r="N602" s="2" t="s">
        <v>950</v>
      </c>
      <c r="O602" s="2">
        <v>0</v>
      </c>
      <c r="P602" s="2"/>
      <c r="Q602" s="3" t="b">
        <f t="shared" ref="Q602:Q604" si="473">getText(I602)=getText(M602)</f>
        <v>1</v>
      </c>
      <c r="R602" s="2" t="b">
        <f t="shared" ref="R602:R604" si="474">getText(J602)=getText(N602)</f>
        <v>1</v>
      </c>
      <c r="S602" s="2" t="b">
        <f t="shared" ref="S602:S604" si="475">getText(K602)=getText(O602)</f>
        <v>1</v>
      </c>
    </row>
    <row r="603" spans="2:19" x14ac:dyDescent="0.15">
      <c r="D603" t="s">
        <v>47</v>
      </c>
      <c r="E603" s="9" t="s">
        <v>945</v>
      </c>
      <c r="F603" s="17" t="s">
        <v>943</v>
      </c>
      <c r="G603" s="7">
        <v>10</v>
      </c>
      <c r="H603" s="7">
        <v>0</v>
      </c>
      <c r="I603" s="1" t="str">
        <f t="shared" ref="I603:I604" si="476">TESTdivide(E603,F603,G603,H603)</f>
        <v>004</v>
      </c>
      <c r="J603" t="str">
        <f t="shared" ref="J603:J604" si="477">TESTdivideByRef1(E603,F603,G603,H603)</f>
        <v>024</v>
      </c>
      <c r="K603">
        <f t="shared" ref="K603:K604" si="478">TESTdivideByRef2(E603,F603,G603,H603)</f>
        <v>0</v>
      </c>
      <c r="M603" s="1" t="s">
        <v>951</v>
      </c>
      <c r="N603" t="s">
        <v>952</v>
      </c>
      <c r="O603">
        <v>0</v>
      </c>
      <c r="Q603" s="1" t="b">
        <f t="shared" si="473"/>
        <v>1</v>
      </c>
      <c r="R603" t="b">
        <f t="shared" si="474"/>
        <v>1</v>
      </c>
      <c r="S603" t="b">
        <f t="shared" si="475"/>
        <v>1</v>
      </c>
    </row>
    <row r="604" spans="2:19" x14ac:dyDescent="0.15">
      <c r="D604" t="s">
        <v>49</v>
      </c>
      <c r="E604" s="9" t="s">
        <v>949</v>
      </c>
      <c r="F604" s="17" t="s">
        <v>947</v>
      </c>
      <c r="G604" s="7">
        <v>16</v>
      </c>
      <c r="H604" s="7">
        <v>0</v>
      </c>
      <c r="I604" s="1" t="str">
        <f t="shared" si="476"/>
        <v>0010</v>
      </c>
      <c r="J604" t="str">
        <f t="shared" si="477"/>
        <v>00FD</v>
      </c>
      <c r="K604">
        <f t="shared" si="478"/>
        <v>0</v>
      </c>
      <c r="M604" s="1" t="s">
        <v>79</v>
      </c>
      <c r="N604" t="s">
        <v>953</v>
      </c>
      <c r="O604">
        <v>0</v>
      </c>
      <c r="Q604" s="1" t="b">
        <f t="shared" si="473"/>
        <v>1</v>
      </c>
      <c r="R604" t="b">
        <f t="shared" si="474"/>
        <v>1</v>
      </c>
      <c r="S604" t="b">
        <f t="shared" si="475"/>
        <v>1</v>
      </c>
    </row>
    <row r="605" spans="2:19" x14ac:dyDescent="0.15">
      <c r="C605" s="2" t="s">
        <v>954</v>
      </c>
      <c r="D605" s="2" t="s">
        <v>46</v>
      </c>
      <c r="E605" s="11" t="s">
        <v>955</v>
      </c>
      <c r="F605" s="13" t="s">
        <v>263</v>
      </c>
      <c r="G605" s="2">
        <v>2</v>
      </c>
      <c r="H605" s="24">
        <v>-1</v>
      </c>
      <c r="I605" s="3" t="str">
        <f t="shared" ref="I605:I609" si="479">TESTdivide(E605,F605,G605,H605)</f>
        <v>00010</v>
      </c>
      <c r="J605" s="2" t="str">
        <f t="shared" ref="J605:J609" si="480">TESTdivideByRef1(E605,F605,G605,H605)</f>
        <v>00110</v>
      </c>
      <c r="K605" s="2">
        <f t="shared" ref="K605:K610" si="481">TESTdivideByRef2(E605,F605,G605,H605)</f>
        <v>0</v>
      </c>
      <c r="L605" s="2"/>
      <c r="M605" s="3" t="s">
        <v>958</v>
      </c>
      <c r="N605" s="2" t="s">
        <v>959</v>
      </c>
      <c r="O605" s="2">
        <v>0</v>
      </c>
      <c r="P605" s="2"/>
      <c r="Q605" s="3" t="b">
        <f t="shared" ref="Q605:Q610" si="482">getText(I605)=getText(M605)</f>
        <v>1</v>
      </c>
      <c r="R605" s="2" t="b">
        <f t="shared" ref="R605:R610" si="483">getText(J605)=getText(N605)</f>
        <v>1</v>
      </c>
      <c r="S605" s="2" t="b">
        <f t="shared" ref="S605:S610" si="484">getText(K605)=getText(O605)</f>
        <v>1</v>
      </c>
    </row>
    <row r="606" spans="2:19" x14ac:dyDescent="0.15">
      <c r="D606" t="s">
        <v>47</v>
      </c>
      <c r="E606" s="9" t="s">
        <v>956</v>
      </c>
      <c r="F606" s="17" t="s">
        <v>942</v>
      </c>
      <c r="G606" s="7">
        <v>10</v>
      </c>
      <c r="H606" s="7">
        <v>-1</v>
      </c>
      <c r="I606" s="1" t="str">
        <f t="shared" si="479"/>
        <v>0040</v>
      </c>
      <c r="J606" t="str">
        <f t="shared" si="480"/>
        <v>0240</v>
      </c>
      <c r="K606">
        <f t="shared" si="481"/>
        <v>0</v>
      </c>
      <c r="M606" s="1" t="s">
        <v>960</v>
      </c>
      <c r="N606" t="s">
        <v>961</v>
      </c>
      <c r="O606">
        <v>0</v>
      </c>
      <c r="Q606" s="1" t="b">
        <f t="shared" si="482"/>
        <v>1</v>
      </c>
      <c r="R606" t="b">
        <f t="shared" si="483"/>
        <v>1</v>
      </c>
      <c r="S606" t="b">
        <f t="shared" si="484"/>
        <v>1</v>
      </c>
    </row>
    <row r="607" spans="2:19" x14ac:dyDescent="0.15">
      <c r="D607" t="s">
        <v>49</v>
      </c>
      <c r="E607" s="9" t="s">
        <v>957</v>
      </c>
      <c r="F607" s="17" t="s">
        <v>946</v>
      </c>
      <c r="G607" s="7">
        <v>16</v>
      </c>
      <c r="H607" s="7">
        <v>-1</v>
      </c>
      <c r="I607" s="1" t="str">
        <f t="shared" si="479"/>
        <v>00100</v>
      </c>
      <c r="J607" t="str">
        <f t="shared" si="480"/>
        <v>00FD0</v>
      </c>
      <c r="K607">
        <f t="shared" si="481"/>
        <v>0</v>
      </c>
      <c r="M607" s="1" t="s">
        <v>491</v>
      </c>
      <c r="N607" t="s">
        <v>962</v>
      </c>
      <c r="O607">
        <v>0</v>
      </c>
      <c r="Q607" s="1" t="b">
        <f t="shared" si="482"/>
        <v>1</v>
      </c>
      <c r="R607" t="b">
        <f t="shared" si="483"/>
        <v>1</v>
      </c>
      <c r="S607" t="b">
        <f t="shared" si="484"/>
        <v>1</v>
      </c>
    </row>
    <row r="608" spans="2:19" x14ac:dyDescent="0.15">
      <c r="C608" s="2" t="s">
        <v>963</v>
      </c>
      <c r="D608" s="2" t="s">
        <v>46</v>
      </c>
      <c r="E608" s="11" t="s">
        <v>34</v>
      </c>
      <c r="F608" s="13" t="s">
        <v>263</v>
      </c>
      <c r="G608" s="2">
        <v>2</v>
      </c>
      <c r="H608" s="24">
        <v>2</v>
      </c>
      <c r="I608" s="3" t="str">
        <f t="shared" si="479"/>
        <v>000110</v>
      </c>
      <c r="J608" s="2" t="str">
        <f t="shared" si="480"/>
        <v>000010</v>
      </c>
      <c r="K608" s="2">
        <f t="shared" si="481"/>
        <v>0</v>
      </c>
      <c r="L608" s="2"/>
      <c r="M608" s="3" t="s">
        <v>966</v>
      </c>
      <c r="N608" s="2" t="s">
        <v>967</v>
      </c>
      <c r="O608" s="2">
        <v>0</v>
      </c>
      <c r="P608" s="2"/>
      <c r="Q608" s="3" t="b">
        <f t="shared" si="482"/>
        <v>1</v>
      </c>
      <c r="R608" s="2" t="b">
        <f t="shared" si="483"/>
        <v>1</v>
      </c>
      <c r="S608" s="2" t="b">
        <f t="shared" si="484"/>
        <v>1</v>
      </c>
    </row>
    <row r="609" spans="1:19" x14ac:dyDescent="0.15">
      <c r="D609" t="s">
        <v>47</v>
      </c>
      <c r="E609" s="9" t="s">
        <v>944</v>
      </c>
      <c r="F609" s="17" t="s">
        <v>942</v>
      </c>
      <c r="G609" s="7">
        <v>10</v>
      </c>
      <c r="H609" s="7">
        <v>1</v>
      </c>
      <c r="I609" s="1" t="str">
        <f t="shared" si="479"/>
        <v>0049</v>
      </c>
      <c r="J609" t="str">
        <f t="shared" si="480"/>
        <v>0015</v>
      </c>
      <c r="K609">
        <f t="shared" si="481"/>
        <v>0</v>
      </c>
      <c r="M609" s="1" t="s">
        <v>964</v>
      </c>
      <c r="N609" t="s">
        <v>965</v>
      </c>
      <c r="O609">
        <v>0</v>
      </c>
      <c r="Q609" s="1" t="b">
        <f t="shared" si="482"/>
        <v>1</v>
      </c>
      <c r="R609" t="b">
        <f t="shared" si="483"/>
        <v>1</v>
      </c>
      <c r="S609" t="b">
        <f t="shared" si="484"/>
        <v>1</v>
      </c>
    </row>
    <row r="610" spans="1:19" x14ac:dyDescent="0.15">
      <c r="D610" t="s">
        <v>49</v>
      </c>
      <c r="E610" s="9" t="s">
        <v>948</v>
      </c>
      <c r="F610" s="17" t="s">
        <v>946</v>
      </c>
      <c r="G610" s="7">
        <v>16</v>
      </c>
      <c r="H610" s="7">
        <v>1</v>
      </c>
      <c r="I610" s="1" t="str">
        <f>TESTdivide(E610,F610,G610,H610)</f>
        <v>0010F</v>
      </c>
      <c r="J610" t="str">
        <f>TESTdivideByRef1(E610,F610,G610,H610)</f>
        <v>000EE</v>
      </c>
      <c r="K610">
        <f t="shared" si="481"/>
        <v>0</v>
      </c>
      <c r="M610" s="1" t="s">
        <v>968</v>
      </c>
      <c r="N610" t="s">
        <v>969</v>
      </c>
      <c r="O610">
        <v>0</v>
      </c>
      <c r="Q610" s="1" t="b">
        <f t="shared" si="482"/>
        <v>1</v>
      </c>
      <c r="R610" t="b">
        <f t="shared" si="483"/>
        <v>1</v>
      </c>
      <c r="S610" t="b">
        <f t="shared" si="484"/>
        <v>1</v>
      </c>
    </row>
    <row r="611" spans="1:19" s="2" customFormat="1" x14ac:dyDescent="0.15">
      <c r="A611" s="2" t="s">
        <v>901</v>
      </c>
      <c r="B611" s="2" t="s">
        <v>568</v>
      </c>
      <c r="C611" s="2" t="s">
        <v>3</v>
      </c>
      <c r="D611" s="2" t="s">
        <v>579</v>
      </c>
      <c r="E611" s="3">
        <v>0</v>
      </c>
      <c r="F611" s="2">
        <v>2</v>
      </c>
      <c r="G611" s="2">
        <v>2</v>
      </c>
      <c r="I611" s="3" t="str">
        <f t="shared" ref="I611:I642" si="485">TESTconvRadixOfInt(E611,F611,G611)</f>
        <v>0</v>
      </c>
      <c r="M611" s="3" t="s">
        <v>14</v>
      </c>
      <c r="Q611" s="3" t="b">
        <f t="shared" ref="Q611:Q619" si="486">getText(I611)=getText(M611)</f>
        <v>1</v>
      </c>
    </row>
    <row r="612" spans="1:19" x14ac:dyDescent="0.15">
      <c r="B612" t="s">
        <v>570</v>
      </c>
      <c r="C612" t="s">
        <v>4</v>
      </c>
      <c r="D612" t="s">
        <v>580</v>
      </c>
      <c r="E612" s="1">
        <v>111</v>
      </c>
      <c r="F612">
        <v>2</v>
      </c>
      <c r="G612">
        <v>7</v>
      </c>
      <c r="I612" s="1" t="str">
        <f t="shared" si="485"/>
        <v>10</v>
      </c>
      <c r="M612" s="1" t="s">
        <v>15</v>
      </c>
      <c r="Q612" s="1" t="b">
        <f t="shared" si="486"/>
        <v>1</v>
      </c>
      <c r="R612" s="6"/>
    </row>
    <row r="613" spans="1:19" x14ac:dyDescent="0.15">
      <c r="C613" t="s">
        <v>5</v>
      </c>
      <c r="D613" t="s">
        <v>581</v>
      </c>
      <c r="E613" s="1">
        <v>10000</v>
      </c>
      <c r="F613">
        <v>2</v>
      </c>
      <c r="G613">
        <v>16</v>
      </c>
      <c r="I613" s="1" t="str">
        <f t="shared" si="485"/>
        <v>10</v>
      </c>
      <c r="M613" s="1" t="s">
        <v>15</v>
      </c>
      <c r="Q613" s="1" t="b">
        <f t="shared" si="486"/>
        <v>1</v>
      </c>
      <c r="R613" s="6"/>
    </row>
    <row r="614" spans="1:19" x14ac:dyDescent="0.15">
      <c r="C614" t="s">
        <v>6</v>
      </c>
      <c r="D614" t="s">
        <v>579</v>
      </c>
      <c r="E614" s="1">
        <v>0</v>
      </c>
      <c r="F614">
        <v>7</v>
      </c>
      <c r="G614">
        <v>2</v>
      </c>
      <c r="I614" s="1" t="str">
        <f t="shared" si="485"/>
        <v>0</v>
      </c>
      <c r="M614" s="1" t="s">
        <v>14</v>
      </c>
      <c r="Q614" s="1" t="b">
        <f t="shared" si="486"/>
        <v>1</v>
      </c>
      <c r="R614" s="6"/>
    </row>
    <row r="615" spans="1:19" x14ac:dyDescent="0.15">
      <c r="C615" t="s">
        <v>7</v>
      </c>
      <c r="D615" t="s">
        <v>580</v>
      </c>
      <c r="E615" s="1">
        <v>10</v>
      </c>
      <c r="F615">
        <v>7</v>
      </c>
      <c r="G615">
        <v>7</v>
      </c>
      <c r="I615" s="1" t="str">
        <f t="shared" si="485"/>
        <v>10</v>
      </c>
      <c r="M615" s="1" t="s">
        <v>15</v>
      </c>
      <c r="Q615" s="1" t="b">
        <f t="shared" si="486"/>
        <v>1</v>
      </c>
      <c r="R615" s="6"/>
    </row>
    <row r="616" spans="1:19" x14ac:dyDescent="0.15">
      <c r="C616" t="s">
        <v>8</v>
      </c>
      <c r="D616" t="s">
        <v>581</v>
      </c>
      <c r="E616" s="1">
        <v>22</v>
      </c>
      <c r="F616">
        <v>7</v>
      </c>
      <c r="G616">
        <v>16</v>
      </c>
      <c r="I616" s="1" t="str">
        <f t="shared" si="485"/>
        <v>10</v>
      </c>
      <c r="M616" s="1" t="s">
        <v>15</v>
      </c>
      <c r="Q616" s="1" t="b">
        <f t="shared" si="486"/>
        <v>1</v>
      </c>
      <c r="R616" s="6"/>
    </row>
    <row r="617" spans="1:19" x14ac:dyDescent="0.15">
      <c r="C617" t="s">
        <v>9</v>
      </c>
      <c r="D617" t="s">
        <v>579</v>
      </c>
      <c r="E617" s="1">
        <v>0</v>
      </c>
      <c r="F617">
        <v>16</v>
      </c>
      <c r="G617">
        <v>2</v>
      </c>
      <c r="I617" s="1" t="str">
        <f t="shared" si="485"/>
        <v>0</v>
      </c>
      <c r="M617" s="1" t="s">
        <v>14</v>
      </c>
      <c r="Q617" s="1" t="b">
        <f t="shared" si="486"/>
        <v>1</v>
      </c>
      <c r="R617" s="6"/>
    </row>
    <row r="618" spans="1:19" x14ac:dyDescent="0.15">
      <c r="C618" t="s">
        <v>10</v>
      </c>
      <c r="D618" t="s">
        <v>580</v>
      </c>
      <c r="E618" s="1">
        <v>7</v>
      </c>
      <c r="F618">
        <v>16</v>
      </c>
      <c r="G618">
        <v>7</v>
      </c>
      <c r="I618" s="1" t="str">
        <f t="shared" si="485"/>
        <v>10</v>
      </c>
      <c r="M618" s="1" t="s">
        <v>15</v>
      </c>
      <c r="Q618" s="1" t="b">
        <f t="shared" si="486"/>
        <v>1</v>
      </c>
      <c r="R618" s="6"/>
    </row>
    <row r="619" spans="1:19" s="6" customFormat="1" x14ac:dyDescent="0.15">
      <c r="C619" s="6" t="s">
        <v>11</v>
      </c>
      <c r="D619" s="6" t="s">
        <v>581</v>
      </c>
      <c r="E619" s="1">
        <v>10</v>
      </c>
      <c r="F619" s="6">
        <v>16</v>
      </c>
      <c r="G619" s="6">
        <v>16</v>
      </c>
      <c r="I619" s="1" t="str">
        <f t="shared" si="485"/>
        <v>10</v>
      </c>
      <c r="M619" s="1" t="s">
        <v>15</v>
      </c>
      <c r="Q619" s="1" t="b">
        <f t="shared" si="486"/>
        <v>1</v>
      </c>
    </row>
    <row r="620" spans="1:19" s="6" customFormat="1" x14ac:dyDescent="0.15">
      <c r="B620" s="2" t="s">
        <v>568</v>
      </c>
      <c r="C620" s="2" t="s">
        <v>25</v>
      </c>
      <c r="D620" s="2" t="s">
        <v>3</v>
      </c>
      <c r="E620" s="3">
        <v>10001</v>
      </c>
      <c r="F620" s="2">
        <v>2</v>
      </c>
      <c r="G620" s="2">
        <v>2</v>
      </c>
      <c r="H620" s="2"/>
      <c r="I620" s="3" t="str">
        <f t="shared" si="485"/>
        <v>10001</v>
      </c>
      <c r="J620" s="2"/>
      <c r="K620" s="2"/>
      <c r="L620" s="2"/>
      <c r="M620" s="3" t="s">
        <v>16</v>
      </c>
      <c r="N620" s="2"/>
      <c r="O620" s="2"/>
      <c r="P620" s="2"/>
      <c r="Q620" s="3" t="b">
        <f t="shared" ref="Q620:Q622" si="487">getText(I620)=getText(M620)</f>
        <v>1</v>
      </c>
    </row>
    <row r="621" spans="1:19" s="6" customFormat="1" x14ac:dyDescent="0.15">
      <c r="B621" s="6" t="s">
        <v>569</v>
      </c>
      <c r="C621" s="6" t="s">
        <v>53</v>
      </c>
      <c r="D621" s="6" t="s">
        <v>4</v>
      </c>
      <c r="E621" s="1">
        <v>10001</v>
      </c>
      <c r="F621" s="6">
        <v>2</v>
      </c>
      <c r="G621" s="6">
        <v>7</v>
      </c>
      <c r="I621" s="1" t="str">
        <f t="shared" si="485"/>
        <v>23</v>
      </c>
      <c r="M621" s="1" t="s">
        <v>17</v>
      </c>
      <c r="Q621" s="1" t="b">
        <f t="shared" si="487"/>
        <v>1</v>
      </c>
    </row>
    <row r="622" spans="1:19" s="6" customFormat="1" x14ac:dyDescent="0.15">
      <c r="C622" s="7" t="s">
        <v>54</v>
      </c>
      <c r="D622" s="6" t="s">
        <v>5</v>
      </c>
      <c r="E622" s="1">
        <v>10001</v>
      </c>
      <c r="F622" s="6">
        <v>2</v>
      </c>
      <c r="G622" s="6">
        <v>16</v>
      </c>
      <c r="I622" s="1" t="str">
        <f t="shared" si="485"/>
        <v>11</v>
      </c>
      <c r="M622" s="1" t="s">
        <v>18</v>
      </c>
      <c r="Q622" s="1" t="b">
        <f t="shared" si="487"/>
        <v>1</v>
      </c>
    </row>
    <row r="623" spans="1:19" s="6" customFormat="1" x14ac:dyDescent="0.15">
      <c r="D623" s="6" t="s">
        <v>6</v>
      </c>
      <c r="E623" s="1">
        <v>23</v>
      </c>
      <c r="F623" s="6">
        <v>7</v>
      </c>
      <c r="G623" s="6">
        <v>2</v>
      </c>
      <c r="I623" s="1" t="str">
        <f t="shared" si="485"/>
        <v>10001</v>
      </c>
      <c r="M623" s="1" t="s">
        <v>16</v>
      </c>
      <c r="Q623" s="1" t="b">
        <f t="shared" ref="Q623:Q625" si="488">getText(I623)=getText(M623)</f>
        <v>1</v>
      </c>
    </row>
    <row r="624" spans="1:19" s="6" customFormat="1" x14ac:dyDescent="0.15">
      <c r="D624" s="6" t="s">
        <v>7</v>
      </c>
      <c r="E624" s="1">
        <v>23</v>
      </c>
      <c r="F624" s="6">
        <v>7</v>
      </c>
      <c r="G624" s="6">
        <v>7</v>
      </c>
      <c r="I624" s="1" t="str">
        <f t="shared" si="485"/>
        <v>23</v>
      </c>
      <c r="M624" s="1" t="s">
        <v>17</v>
      </c>
      <c r="Q624" s="1" t="b">
        <f t="shared" si="488"/>
        <v>1</v>
      </c>
    </row>
    <row r="625" spans="3:17" s="6" customFormat="1" x14ac:dyDescent="0.15">
      <c r="D625" s="6" t="s">
        <v>8</v>
      </c>
      <c r="E625" s="1">
        <v>23</v>
      </c>
      <c r="F625" s="6">
        <v>7</v>
      </c>
      <c r="G625" s="6">
        <v>16</v>
      </c>
      <c r="I625" s="1" t="str">
        <f t="shared" si="485"/>
        <v>11</v>
      </c>
      <c r="M625" s="1" t="s">
        <v>18</v>
      </c>
      <c r="Q625" s="1" t="b">
        <f t="shared" si="488"/>
        <v>1</v>
      </c>
    </row>
    <row r="626" spans="3:17" s="6" customFormat="1" x14ac:dyDescent="0.15">
      <c r="D626" s="6" t="s">
        <v>9</v>
      </c>
      <c r="E626" s="1">
        <v>11</v>
      </c>
      <c r="F626" s="6">
        <v>16</v>
      </c>
      <c r="G626" s="6">
        <v>2</v>
      </c>
      <c r="I626" s="1" t="str">
        <f t="shared" si="485"/>
        <v>10001</v>
      </c>
      <c r="M626" s="1" t="s">
        <v>16</v>
      </c>
      <c r="Q626" s="1" t="b">
        <f t="shared" ref="Q626:Q628" si="489">getText(I626)=getText(M626)</f>
        <v>1</v>
      </c>
    </row>
    <row r="627" spans="3:17" s="6" customFormat="1" x14ac:dyDescent="0.15">
      <c r="D627" s="6" t="s">
        <v>10</v>
      </c>
      <c r="E627" s="1">
        <v>11</v>
      </c>
      <c r="F627" s="6">
        <v>16</v>
      </c>
      <c r="G627" s="6">
        <v>7</v>
      </c>
      <c r="I627" s="1" t="str">
        <f t="shared" si="485"/>
        <v>23</v>
      </c>
      <c r="M627" s="1" t="s">
        <v>17</v>
      </c>
      <c r="Q627" s="1" t="b">
        <f t="shared" si="489"/>
        <v>1</v>
      </c>
    </row>
    <row r="628" spans="3:17" s="6" customFormat="1" x14ac:dyDescent="0.15">
      <c r="D628" s="6" t="s">
        <v>11</v>
      </c>
      <c r="E628" s="1">
        <v>11</v>
      </c>
      <c r="F628" s="6">
        <v>16</v>
      </c>
      <c r="G628" s="6">
        <v>16</v>
      </c>
      <c r="I628" s="1" t="str">
        <f t="shared" si="485"/>
        <v>11</v>
      </c>
      <c r="M628" s="1" t="s">
        <v>18</v>
      </c>
      <c r="Q628" s="1" t="b">
        <f t="shared" si="489"/>
        <v>1</v>
      </c>
    </row>
    <row r="629" spans="3:17" s="6" customFormat="1" x14ac:dyDescent="0.15">
      <c r="C629" s="2" t="s">
        <v>23</v>
      </c>
      <c r="D629" s="2" t="s">
        <v>3</v>
      </c>
      <c r="E629" s="3">
        <v>11</v>
      </c>
      <c r="F629" s="2">
        <v>2</v>
      </c>
      <c r="G629" s="2">
        <v>2</v>
      </c>
      <c r="H629" s="2"/>
      <c r="I629" s="3" t="str">
        <f t="shared" si="485"/>
        <v>11</v>
      </c>
      <c r="J629" s="2"/>
      <c r="K629" s="2"/>
      <c r="L629" s="2"/>
      <c r="M629" s="3" t="s">
        <v>18</v>
      </c>
      <c r="N629" s="2"/>
      <c r="O629" s="2"/>
      <c r="P629" s="2"/>
      <c r="Q629" s="3" t="b">
        <f t="shared" ref="Q629" si="490">getText(I629)=getText(M629)</f>
        <v>1</v>
      </c>
    </row>
    <row r="630" spans="3:17" s="6" customFormat="1" x14ac:dyDescent="0.15">
      <c r="C630" s="6" t="s">
        <v>53</v>
      </c>
      <c r="D630" s="6" t="s">
        <v>4</v>
      </c>
      <c r="E630" s="1">
        <v>110000</v>
      </c>
      <c r="F630" s="6">
        <v>2</v>
      </c>
      <c r="G630" s="6">
        <v>7</v>
      </c>
      <c r="I630" s="1" t="str">
        <f t="shared" si="485"/>
        <v>66</v>
      </c>
      <c r="M630" s="1" t="s">
        <v>20</v>
      </c>
      <c r="Q630" s="1" t="b">
        <f t="shared" ref="Q630" si="491">getText(I630)=getText(M630)</f>
        <v>1</v>
      </c>
    </row>
    <row r="631" spans="3:17" s="6" customFormat="1" x14ac:dyDescent="0.15">
      <c r="C631" s="6" t="s">
        <v>55</v>
      </c>
      <c r="D631" s="6" t="s">
        <v>5</v>
      </c>
      <c r="E631" s="1">
        <v>11111111</v>
      </c>
      <c r="F631" s="7">
        <v>2</v>
      </c>
      <c r="G631" s="7">
        <v>16</v>
      </c>
      <c r="I631" s="1" t="str">
        <f t="shared" si="485"/>
        <v>FF</v>
      </c>
      <c r="M631" s="1" t="s">
        <v>22</v>
      </c>
      <c r="Q631" s="1" t="b">
        <f t="shared" ref="Q631" si="492">getText(I631)=getText(M631)</f>
        <v>1</v>
      </c>
    </row>
    <row r="632" spans="3:17" s="6" customFormat="1" x14ac:dyDescent="0.15">
      <c r="D632" s="6" t="s">
        <v>6</v>
      </c>
      <c r="E632" s="1">
        <v>3</v>
      </c>
      <c r="F632" s="7">
        <v>7</v>
      </c>
      <c r="G632" s="7">
        <v>2</v>
      </c>
      <c r="I632" s="1" t="str">
        <f t="shared" si="485"/>
        <v>11</v>
      </c>
      <c r="M632" s="1" t="s">
        <v>18</v>
      </c>
      <c r="Q632" s="1" t="b">
        <f t="shared" ref="Q632:Q637" si="493">getText(I632)=getText(M632)</f>
        <v>1</v>
      </c>
    </row>
    <row r="633" spans="3:17" s="6" customFormat="1" x14ac:dyDescent="0.15">
      <c r="D633" s="6" t="s">
        <v>7</v>
      </c>
      <c r="E633" s="1">
        <v>66</v>
      </c>
      <c r="F633" s="7">
        <v>7</v>
      </c>
      <c r="G633" s="7">
        <v>7</v>
      </c>
      <c r="I633" s="1" t="str">
        <f t="shared" si="485"/>
        <v>66</v>
      </c>
      <c r="M633" s="1" t="s">
        <v>20</v>
      </c>
      <c r="Q633" s="1" t="b">
        <f t="shared" si="493"/>
        <v>1</v>
      </c>
    </row>
    <row r="634" spans="3:17" s="6" customFormat="1" x14ac:dyDescent="0.15">
      <c r="D634" s="6" t="s">
        <v>8</v>
      </c>
      <c r="E634" s="1">
        <v>513</v>
      </c>
      <c r="F634" s="7">
        <v>7</v>
      </c>
      <c r="G634" s="7">
        <v>16</v>
      </c>
      <c r="I634" s="1" t="str">
        <f t="shared" si="485"/>
        <v>FF</v>
      </c>
      <c r="M634" s="1" t="s">
        <v>22</v>
      </c>
      <c r="Q634" s="1" t="b">
        <f t="shared" si="493"/>
        <v>1</v>
      </c>
    </row>
    <row r="635" spans="3:17" s="6" customFormat="1" x14ac:dyDescent="0.15">
      <c r="D635" s="6" t="s">
        <v>9</v>
      </c>
      <c r="E635" s="8">
        <v>3</v>
      </c>
      <c r="F635" s="7">
        <v>16</v>
      </c>
      <c r="G635" s="7">
        <v>2</v>
      </c>
      <c r="I635" s="1" t="str">
        <f t="shared" si="485"/>
        <v>11</v>
      </c>
      <c r="M635" s="1" t="s">
        <v>18</v>
      </c>
      <c r="Q635" s="1" t="b">
        <f t="shared" si="493"/>
        <v>1</v>
      </c>
    </row>
    <row r="636" spans="3:17" s="6" customFormat="1" x14ac:dyDescent="0.15">
      <c r="D636" s="6" t="s">
        <v>10</v>
      </c>
      <c r="E636" s="1">
        <v>30</v>
      </c>
      <c r="F636" s="7">
        <v>16</v>
      </c>
      <c r="G636" s="7">
        <v>7</v>
      </c>
      <c r="I636" s="1" t="str">
        <f t="shared" si="485"/>
        <v>66</v>
      </c>
      <c r="M636" s="1" t="s">
        <v>20</v>
      </c>
      <c r="Q636" s="1" t="b">
        <f t="shared" si="493"/>
        <v>1</v>
      </c>
    </row>
    <row r="637" spans="3:17" s="6" customFormat="1" x14ac:dyDescent="0.15">
      <c r="D637" s="6" t="s">
        <v>11</v>
      </c>
      <c r="E637" s="8" t="s">
        <v>26</v>
      </c>
      <c r="F637" s="7">
        <v>16</v>
      </c>
      <c r="G637" s="7">
        <v>16</v>
      </c>
      <c r="I637" s="1" t="str">
        <f t="shared" si="485"/>
        <v>FF</v>
      </c>
      <c r="M637" s="1" t="s">
        <v>22</v>
      </c>
      <c r="Q637" s="1" t="b">
        <f t="shared" si="493"/>
        <v>1</v>
      </c>
    </row>
    <row r="638" spans="3:17" s="6" customFormat="1" x14ac:dyDescent="0.15">
      <c r="C638" s="2" t="s">
        <v>24</v>
      </c>
      <c r="D638" s="2" t="s">
        <v>3</v>
      </c>
      <c r="E638" s="3">
        <v>100</v>
      </c>
      <c r="F638" s="2">
        <v>2</v>
      </c>
      <c r="G638" s="2">
        <v>2</v>
      </c>
      <c r="H638" s="2"/>
      <c r="I638" s="3" t="str">
        <f t="shared" si="485"/>
        <v>100</v>
      </c>
      <c r="J638" s="2"/>
      <c r="K638" s="2"/>
      <c r="L638" s="2"/>
      <c r="M638" s="3" t="s">
        <v>21</v>
      </c>
      <c r="N638" s="2"/>
      <c r="O638" s="2"/>
      <c r="P638" s="2"/>
      <c r="Q638" s="3" t="b">
        <f t="shared" ref="Q638" si="494">getText(I638)=getText(M638)</f>
        <v>1</v>
      </c>
    </row>
    <row r="639" spans="3:17" s="6" customFormat="1" x14ac:dyDescent="0.15">
      <c r="C639" s="6" t="s">
        <v>53</v>
      </c>
      <c r="D639" s="6" t="s">
        <v>4</v>
      </c>
      <c r="E639" s="1">
        <v>110001</v>
      </c>
      <c r="F639" s="6">
        <v>2</v>
      </c>
      <c r="G639" s="6">
        <v>7</v>
      </c>
      <c r="I639" s="1" t="str">
        <f t="shared" si="485"/>
        <v>100</v>
      </c>
      <c r="M639" s="1" t="s">
        <v>21</v>
      </c>
      <c r="Q639" s="1" t="b">
        <f t="shared" ref="Q639" si="495">getText(I639)=getText(M639)</f>
        <v>1</v>
      </c>
    </row>
    <row r="640" spans="3:17" s="6" customFormat="1" x14ac:dyDescent="0.15">
      <c r="C640" s="6" t="s">
        <v>56</v>
      </c>
      <c r="D640" s="6" t="s">
        <v>5</v>
      </c>
      <c r="E640" s="1">
        <v>100000000</v>
      </c>
      <c r="F640" s="6">
        <v>2</v>
      </c>
      <c r="G640" s="6">
        <v>16</v>
      </c>
      <c r="I640" s="1" t="str">
        <f t="shared" si="485"/>
        <v>100</v>
      </c>
      <c r="M640" s="1" t="s">
        <v>21</v>
      </c>
      <c r="Q640" s="1" t="b">
        <f t="shared" ref="Q640" si="496">getText(I640)=getText(M640)</f>
        <v>1</v>
      </c>
    </row>
    <row r="641" spans="3:18" s="6" customFormat="1" x14ac:dyDescent="0.15">
      <c r="D641" s="6" t="s">
        <v>6</v>
      </c>
      <c r="E641" s="1">
        <v>4</v>
      </c>
      <c r="F641" s="7">
        <v>7</v>
      </c>
      <c r="G641" s="7">
        <v>2</v>
      </c>
      <c r="I641" s="1" t="str">
        <f t="shared" si="485"/>
        <v>100</v>
      </c>
      <c r="M641" s="1" t="s">
        <v>21</v>
      </c>
      <c r="Q641" s="1" t="b">
        <f t="shared" ref="Q641:Q643" si="497">getText(I641)=getText(M641)</f>
        <v>1</v>
      </c>
    </row>
    <row r="642" spans="3:18" s="6" customFormat="1" x14ac:dyDescent="0.15">
      <c r="D642" s="6" t="s">
        <v>7</v>
      </c>
      <c r="E642" s="1">
        <v>100</v>
      </c>
      <c r="F642" s="7">
        <v>7</v>
      </c>
      <c r="G642" s="7">
        <v>7</v>
      </c>
      <c r="I642" s="1" t="str">
        <f t="shared" si="485"/>
        <v>100</v>
      </c>
      <c r="M642" s="1" t="s">
        <v>21</v>
      </c>
      <c r="Q642" s="1" t="b">
        <f t="shared" si="497"/>
        <v>1</v>
      </c>
    </row>
    <row r="643" spans="3:18" s="6" customFormat="1" x14ac:dyDescent="0.15">
      <c r="D643" s="6" t="s">
        <v>8</v>
      </c>
      <c r="E643" s="1">
        <v>514</v>
      </c>
      <c r="F643" s="7">
        <v>7</v>
      </c>
      <c r="G643" s="7">
        <v>16</v>
      </c>
      <c r="I643" s="1" t="str">
        <f t="shared" ref="I643:I664" si="498">TESTconvRadixOfInt(E643,F643,G643)</f>
        <v>100</v>
      </c>
      <c r="M643" s="1" t="s">
        <v>21</v>
      </c>
      <c r="Q643" s="1" t="b">
        <f t="shared" si="497"/>
        <v>1</v>
      </c>
    </row>
    <row r="644" spans="3:18" s="6" customFormat="1" x14ac:dyDescent="0.15">
      <c r="D644" s="6" t="s">
        <v>9</v>
      </c>
      <c r="E644" s="1">
        <v>4</v>
      </c>
      <c r="F644" s="7">
        <v>16</v>
      </c>
      <c r="G644" s="7">
        <v>2</v>
      </c>
      <c r="I644" s="1" t="str">
        <f t="shared" si="498"/>
        <v>100</v>
      </c>
      <c r="M644" s="1" t="s">
        <v>21</v>
      </c>
      <c r="Q644" s="1" t="b">
        <f t="shared" ref="Q644:Q646" si="499">getText(I644)=getText(M644)</f>
        <v>1</v>
      </c>
    </row>
    <row r="645" spans="3:18" s="6" customFormat="1" x14ac:dyDescent="0.15">
      <c r="D645" s="6" t="s">
        <v>10</v>
      </c>
      <c r="E645" s="1">
        <v>31</v>
      </c>
      <c r="F645" s="7">
        <v>16</v>
      </c>
      <c r="G645" s="7">
        <v>7</v>
      </c>
      <c r="I645" s="1" t="str">
        <f t="shared" si="498"/>
        <v>100</v>
      </c>
      <c r="M645" s="1" t="s">
        <v>21</v>
      </c>
      <c r="Q645" s="1" t="b">
        <f t="shared" si="499"/>
        <v>1</v>
      </c>
    </row>
    <row r="646" spans="3:18" s="6" customFormat="1" x14ac:dyDescent="0.15">
      <c r="D646" s="6" t="s">
        <v>11</v>
      </c>
      <c r="E646" s="8">
        <v>100</v>
      </c>
      <c r="F646" s="7">
        <v>16</v>
      </c>
      <c r="G646" s="7">
        <v>16</v>
      </c>
      <c r="I646" s="1" t="str">
        <f t="shared" si="498"/>
        <v>100</v>
      </c>
      <c r="M646" s="1" t="s">
        <v>21</v>
      </c>
      <c r="Q646" s="1" t="b">
        <f t="shared" si="499"/>
        <v>1</v>
      </c>
    </row>
    <row r="647" spans="3:18" s="6" customFormat="1" x14ac:dyDescent="0.15">
      <c r="C647" s="2" t="s">
        <v>27</v>
      </c>
      <c r="D647" s="2" t="s">
        <v>3</v>
      </c>
      <c r="E647" s="3">
        <v>111</v>
      </c>
      <c r="F647" s="2">
        <v>2</v>
      </c>
      <c r="G647" s="2">
        <v>2</v>
      </c>
      <c r="H647" s="2"/>
      <c r="I647" s="3" t="str">
        <f t="shared" si="498"/>
        <v>111</v>
      </c>
      <c r="J647" s="2"/>
      <c r="K647" s="2"/>
      <c r="L647" s="2"/>
      <c r="M647" s="3" t="s">
        <v>31</v>
      </c>
      <c r="N647" s="2"/>
      <c r="O647" s="2"/>
      <c r="P647" s="2"/>
      <c r="Q647" s="3" t="b">
        <f t="shared" ref="Q647:Q649" si="500">getText(I647)=getText(M647)</f>
        <v>1</v>
      </c>
    </row>
    <row r="648" spans="3:18" x14ac:dyDescent="0.15">
      <c r="C648" s="6" t="s">
        <v>53</v>
      </c>
      <c r="D648" s="6" t="s">
        <v>4</v>
      </c>
      <c r="E648" s="1">
        <v>101010110</v>
      </c>
      <c r="F648" s="6">
        <v>2</v>
      </c>
      <c r="G648" s="6">
        <v>7</v>
      </c>
      <c r="I648" s="1" t="str">
        <f t="shared" si="498"/>
        <v>666</v>
      </c>
      <c r="M648" s="1" t="s">
        <v>32</v>
      </c>
      <c r="Q648" s="1" t="b">
        <f t="shared" si="500"/>
        <v>1</v>
      </c>
      <c r="R648" s="6"/>
    </row>
    <row r="649" spans="3:18" x14ac:dyDescent="0.15">
      <c r="C649" s="6" t="s">
        <v>57</v>
      </c>
      <c r="D649" s="6" t="s">
        <v>5</v>
      </c>
      <c r="E649" s="9" t="s">
        <v>30</v>
      </c>
      <c r="F649" s="6">
        <v>2</v>
      </c>
      <c r="G649" s="6">
        <v>16</v>
      </c>
      <c r="I649" s="1" t="str">
        <f t="shared" si="498"/>
        <v>FFF</v>
      </c>
      <c r="M649" s="1" t="s">
        <v>33</v>
      </c>
      <c r="Q649" s="1" t="b">
        <f t="shared" si="500"/>
        <v>1</v>
      </c>
      <c r="R649" s="6"/>
    </row>
    <row r="650" spans="3:18" x14ac:dyDescent="0.15">
      <c r="C650" s="6"/>
      <c r="D650" s="6" t="s">
        <v>6</v>
      </c>
      <c r="E650" s="1">
        <v>10</v>
      </c>
      <c r="F650" s="7">
        <v>7</v>
      </c>
      <c r="G650" s="7">
        <v>2</v>
      </c>
      <c r="I650" s="1" t="str">
        <f t="shared" si="498"/>
        <v>111</v>
      </c>
      <c r="M650" s="1" t="s">
        <v>31</v>
      </c>
      <c r="Q650" s="1" t="b">
        <f t="shared" ref="Q650:Q664" si="501">getText(I650)=getText(M650)</f>
        <v>1</v>
      </c>
      <c r="R650" s="6"/>
    </row>
    <row r="651" spans="3:18" x14ac:dyDescent="0.15">
      <c r="C651" s="6"/>
      <c r="D651" s="6" t="s">
        <v>7</v>
      </c>
      <c r="E651" s="1">
        <v>666</v>
      </c>
      <c r="F651" s="7">
        <v>7</v>
      </c>
      <c r="G651" s="7">
        <v>7</v>
      </c>
      <c r="I651" s="1" t="str">
        <f t="shared" si="498"/>
        <v>666</v>
      </c>
      <c r="M651" s="1" t="s">
        <v>32</v>
      </c>
      <c r="Q651" s="1" t="b">
        <f t="shared" si="501"/>
        <v>1</v>
      </c>
      <c r="R651" s="6"/>
    </row>
    <row r="652" spans="3:18" x14ac:dyDescent="0.15">
      <c r="C652" s="6"/>
      <c r="D652" s="6" t="s">
        <v>8</v>
      </c>
      <c r="E652" s="1">
        <v>14640</v>
      </c>
      <c r="F652" s="7">
        <v>7</v>
      </c>
      <c r="G652" s="7">
        <v>16</v>
      </c>
      <c r="I652" s="1" t="str">
        <f t="shared" si="498"/>
        <v>FFF</v>
      </c>
      <c r="M652" s="1" t="s">
        <v>33</v>
      </c>
      <c r="Q652" s="1" t="b">
        <f t="shared" si="501"/>
        <v>1</v>
      </c>
      <c r="R652" s="6"/>
    </row>
    <row r="653" spans="3:18" x14ac:dyDescent="0.15">
      <c r="C653" s="6"/>
      <c r="D653" s="6" t="s">
        <v>9</v>
      </c>
      <c r="E653" s="1">
        <v>7</v>
      </c>
      <c r="F653" s="7">
        <v>16</v>
      </c>
      <c r="G653" s="7">
        <v>2</v>
      </c>
      <c r="I653" s="1" t="str">
        <f t="shared" si="498"/>
        <v>111</v>
      </c>
      <c r="M653" s="1" t="s">
        <v>31</v>
      </c>
      <c r="Q653" s="1" t="b">
        <f t="shared" si="501"/>
        <v>1</v>
      </c>
      <c r="R653" s="6"/>
    </row>
    <row r="654" spans="3:18" x14ac:dyDescent="0.15">
      <c r="C654" s="6"/>
      <c r="D654" s="6" t="s">
        <v>10</v>
      </c>
      <c r="E654" s="1">
        <v>156</v>
      </c>
      <c r="F654" s="7">
        <v>16</v>
      </c>
      <c r="G654" s="7">
        <v>7</v>
      </c>
      <c r="I654" s="1" t="str">
        <f t="shared" si="498"/>
        <v>666</v>
      </c>
      <c r="M654" s="1" t="s">
        <v>32</v>
      </c>
      <c r="Q654" s="1" t="b">
        <f t="shared" si="501"/>
        <v>1</v>
      </c>
      <c r="R654" s="6"/>
    </row>
    <row r="655" spans="3:18" x14ac:dyDescent="0.15">
      <c r="C655" s="6"/>
      <c r="D655" s="6" t="s">
        <v>11</v>
      </c>
      <c r="E655" s="8" t="s">
        <v>35</v>
      </c>
      <c r="F655" s="7">
        <v>16</v>
      </c>
      <c r="G655" s="7">
        <v>16</v>
      </c>
      <c r="I655" s="1" t="str">
        <f t="shared" si="498"/>
        <v>FFF</v>
      </c>
      <c r="M655" s="1" t="s">
        <v>33</v>
      </c>
      <c r="Q655" s="1" t="b">
        <f t="shared" si="501"/>
        <v>1</v>
      </c>
      <c r="R655" s="6"/>
    </row>
    <row r="656" spans="3:18" x14ac:dyDescent="0.15">
      <c r="C656" s="2" t="s">
        <v>28</v>
      </c>
      <c r="D656" s="2" t="s">
        <v>3</v>
      </c>
      <c r="E656" s="3">
        <v>1000</v>
      </c>
      <c r="F656" s="2">
        <v>2</v>
      </c>
      <c r="G656" s="2">
        <v>2</v>
      </c>
      <c r="H656" s="2"/>
      <c r="I656" s="3" t="str">
        <f t="shared" si="498"/>
        <v>1000</v>
      </c>
      <c r="J656" s="2"/>
      <c r="K656" s="2"/>
      <c r="L656" s="2"/>
      <c r="M656" s="3" t="s">
        <v>34</v>
      </c>
      <c r="N656" s="2"/>
      <c r="O656" s="2"/>
      <c r="P656" s="2"/>
      <c r="Q656" s="3" t="b">
        <f t="shared" si="501"/>
        <v>1</v>
      </c>
      <c r="R656" s="6"/>
    </row>
    <row r="657" spans="1:18" x14ac:dyDescent="0.15">
      <c r="C657" s="6" t="s">
        <v>53</v>
      </c>
      <c r="D657" s="6" t="s">
        <v>4</v>
      </c>
      <c r="E657" s="1">
        <v>101010111</v>
      </c>
      <c r="F657" s="6">
        <v>2</v>
      </c>
      <c r="G657" s="6">
        <v>7</v>
      </c>
      <c r="I657" s="1" t="str">
        <f t="shared" si="498"/>
        <v>1000</v>
      </c>
      <c r="M657" s="1" t="s">
        <v>34</v>
      </c>
      <c r="Q657" s="1" t="b">
        <f t="shared" si="501"/>
        <v>1</v>
      </c>
      <c r="R657" s="6"/>
    </row>
    <row r="658" spans="1:18" x14ac:dyDescent="0.15">
      <c r="C658" s="6" t="s">
        <v>58</v>
      </c>
      <c r="D658" s="6" t="s">
        <v>5</v>
      </c>
      <c r="E658" s="9" t="s">
        <v>29</v>
      </c>
      <c r="F658" s="6">
        <v>2</v>
      </c>
      <c r="G658" s="6">
        <v>16</v>
      </c>
      <c r="I658" s="1" t="str">
        <f t="shared" si="498"/>
        <v>1000</v>
      </c>
      <c r="M658" s="1" t="s">
        <v>34</v>
      </c>
      <c r="Q658" s="1" t="b">
        <f t="shared" si="501"/>
        <v>1</v>
      </c>
      <c r="R658" s="6"/>
    </row>
    <row r="659" spans="1:18" x14ac:dyDescent="0.15">
      <c r="C659" s="6"/>
      <c r="D659" s="6" t="s">
        <v>6</v>
      </c>
      <c r="E659" s="1">
        <v>11</v>
      </c>
      <c r="F659" s="7">
        <v>7</v>
      </c>
      <c r="G659" s="7">
        <v>2</v>
      </c>
      <c r="I659" s="1" t="str">
        <f t="shared" si="498"/>
        <v>1000</v>
      </c>
      <c r="M659" s="1" t="s">
        <v>34</v>
      </c>
      <c r="Q659" s="1" t="b">
        <f t="shared" si="501"/>
        <v>1</v>
      </c>
      <c r="R659" s="6"/>
    </row>
    <row r="660" spans="1:18" x14ac:dyDescent="0.15">
      <c r="C660" s="6"/>
      <c r="D660" s="6" t="s">
        <v>7</v>
      </c>
      <c r="E660" s="1">
        <v>1000</v>
      </c>
      <c r="F660" s="7">
        <v>7</v>
      </c>
      <c r="G660" s="7">
        <v>7</v>
      </c>
      <c r="I660" s="1" t="str">
        <f t="shared" si="498"/>
        <v>1000</v>
      </c>
      <c r="M660" s="1" t="s">
        <v>34</v>
      </c>
      <c r="Q660" s="1" t="b">
        <f t="shared" si="501"/>
        <v>1</v>
      </c>
      <c r="R660" s="6"/>
    </row>
    <row r="661" spans="1:18" x14ac:dyDescent="0.15">
      <c r="C661" s="6"/>
      <c r="D661" s="6" t="s">
        <v>8</v>
      </c>
      <c r="E661" s="1">
        <v>14641</v>
      </c>
      <c r="F661" s="7">
        <v>7</v>
      </c>
      <c r="G661" s="7">
        <v>16</v>
      </c>
      <c r="I661" s="1" t="str">
        <f t="shared" si="498"/>
        <v>1000</v>
      </c>
      <c r="M661" s="1" t="s">
        <v>34</v>
      </c>
      <c r="Q661" s="1" t="b">
        <f t="shared" si="501"/>
        <v>1</v>
      </c>
      <c r="R661" s="6"/>
    </row>
    <row r="662" spans="1:18" x14ac:dyDescent="0.15">
      <c r="C662" s="6"/>
      <c r="D662" s="6" t="s">
        <v>9</v>
      </c>
      <c r="E662" s="1">
        <v>8</v>
      </c>
      <c r="F662" s="7">
        <v>16</v>
      </c>
      <c r="G662" s="7">
        <v>2</v>
      </c>
      <c r="I662" s="1" t="str">
        <f t="shared" si="498"/>
        <v>1000</v>
      </c>
      <c r="M662" s="1" t="s">
        <v>34</v>
      </c>
      <c r="Q662" s="1" t="b">
        <f t="shared" si="501"/>
        <v>1</v>
      </c>
      <c r="R662" s="6"/>
    </row>
    <row r="663" spans="1:18" x14ac:dyDescent="0.15">
      <c r="C663" s="6"/>
      <c r="D663" s="6" t="s">
        <v>10</v>
      </c>
      <c r="E663" s="1">
        <v>157</v>
      </c>
      <c r="F663" s="7">
        <v>16</v>
      </c>
      <c r="G663" s="7">
        <v>7</v>
      </c>
      <c r="I663" s="1" t="str">
        <f t="shared" si="498"/>
        <v>1000</v>
      </c>
      <c r="M663" s="1" t="s">
        <v>34</v>
      </c>
      <c r="Q663" s="1" t="b">
        <f t="shared" si="501"/>
        <v>1</v>
      </c>
      <c r="R663" s="6"/>
    </row>
    <row r="664" spans="1:18" x14ac:dyDescent="0.15">
      <c r="C664" s="6"/>
      <c r="D664" s="6" t="s">
        <v>11</v>
      </c>
      <c r="E664" s="1">
        <v>1000</v>
      </c>
      <c r="F664" s="7">
        <v>16</v>
      </c>
      <c r="G664" s="7">
        <v>16</v>
      </c>
      <c r="I664" s="1" t="str">
        <f t="shared" si="498"/>
        <v>1000</v>
      </c>
      <c r="M664" s="1" t="s">
        <v>34</v>
      </c>
      <c r="Q664" s="1" t="b">
        <f t="shared" si="501"/>
        <v>1</v>
      </c>
      <c r="R664" s="6"/>
    </row>
    <row r="665" spans="1:18" x14ac:dyDescent="0.15">
      <c r="A665" s="2" t="s">
        <v>902</v>
      </c>
      <c r="B665" s="2" t="s">
        <v>453</v>
      </c>
      <c r="C665" s="25" t="s">
        <v>438</v>
      </c>
      <c r="D665" s="2" t="s">
        <v>3</v>
      </c>
      <c r="E665" s="3">
        <v>0</v>
      </c>
      <c r="F665" s="2">
        <v>2</v>
      </c>
      <c r="G665" s="2">
        <v>2</v>
      </c>
      <c r="H665" s="2">
        <v>10</v>
      </c>
      <c r="I665" s="3" t="str">
        <f t="shared" ref="I665:I696" si="502">TESTconvRadixOfFrc(E665,F665,G665,H665)</f>
        <v>0</v>
      </c>
      <c r="J665" s="2"/>
      <c r="K665" s="2"/>
      <c r="L665" s="2"/>
      <c r="M665" s="3" t="s">
        <v>14</v>
      </c>
      <c r="N665" s="2"/>
      <c r="O665" s="2"/>
      <c r="P665" s="2"/>
      <c r="Q665" s="3" t="b">
        <f t="shared" ref="Q665:Q675" si="503">getText(I665)=getText(M665)</f>
        <v>1</v>
      </c>
      <c r="R665" s="6"/>
    </row>
    <row r="666" spans="1:18" x14ac:dyDescent="0.15">
      <c r="A666" s="6"/>
      <c r="B666" s="6"/>
      <c r="C666" s="6"/>
      <c r="D666" s="6" t="s">
        <v>4</v>
      </c>
      <c r="E666" s="1">
        <v>0</v>
      </c>
      <c r="F666" s="7">
        <v>2</v>
      </c>
      <c r="G666" s="7">
        <v>7</v>
      </c>
      <c r="H666" s="6">
        <v>10</v>
      </c>
      <c r="I666" s="1" t="str">
        <f t="shared" si="502"/>
        <v>0</v>
      </c>
      <c r="J666" s="6"/>
      <c r="K666" s="6"/>
      <c r="L666" s="6"/>
      <c r="M666" s="1" t="s">
        <v>14</v>
      </c>
      <c r="N666" s="6"/>
      <c r="O666" s="6"/>
      <c r="P666" s="6"/>
      <c r="Q666" s="1" t="b">
        <f t="shared" si="503"/>
        <v>1</v>
      </c>
      <c r="R666" s="6"/>
    </row>
    <row r="667" spans="1:18" x14ac:dyDescent="0.15">
      <c r="D667" s="6" t="s">
        <v>5</v>
      </c>
      <c r="E667" s="1">
        <v>0</v>
      </c>
      <c r="F667" s="7">
        <v>2</v>
      </c>
      <c r="G667" s="7">
        <v>16</v>
      </c>
      <c r="H667" s="7">
        <v>10</v>
      </c>
      <c r="I667" s="1" t="str">
        <f t="shared" si="502"/>
        <v>0</v>
      </c>
      <c r="M667" s="1" t="s">
        <v>14</v>
      </c>
      <c r="Q667" s="1" t="b">
        <f t="shared" si="503"/>
        <v>1</v>
      </c>
      <c r="R667" s="6"/>
    </row>
    <row r="668" spans="1:18" x14ac:dyDescent="0.15">
      <c r="D668" s="6" t="s">
        <v>6</v>
      </c>
      <c r="E668" s="1">
        <v>0</v>
      </c>
      <c r="F668" s="7">
        <v>7</v>
      </c>
      <c r="G668" s="6">
        <v>2</v>
      </c>
      <c r="H668" s="7">
        <v>10</v>
      </c>
      <c r="I668" s="1" t="str">
        <f t="shared" si="502"/>
        <v>0</v>
      </c>
      <c r="M668" s="1" t="s">
        <v>14</v>
      </c>
      <c r="Q668" s="1" t="b">
        <f t="shared" si="503"/>
        <v>1</v>
      </c>
      <c r="R668" s="6"/>
    </row>
    <row r="669" spans="1:18" x14ac:dyDescent="0.15">
      <c r="D669" s="6" t="s">
        <v>7</v>
      </c>
      <c r="E669" s="1">
        <v>0</v>
      </c>
      <c r="F669" s="7">
        <v>7</v>
      </c>
      <c r="G669" s="7">
        <v>7</v>
      </c>
      <c r="H669">
        <v>10</v>
      </c>
      <c r="I669" s="1" t="str">
        <f t="shared" si="502"/>
        <v>0</v>
      </c>
      <c r="M669" s="1" t="s">
        <v>14</v>
      </c>
      <c r="Q669" s="1" t="b">
        <f t="shared" si="503"/>
        <v>1</v>
      </c>
      <c r="R669" s="6"/>
    </row>
    <row r="670" spans="1:18" x14ac:dyDescent="0.15">
      <c r="D670" s="6" t="s">
        <v>552</v>
      </c>
      <c r="E670" s="1">
        <v>0</v>
      </c>
      <c r="F670" s="7">
        <v>7</v>
      </c>
      <c r="G670" s="7">
        <v>16</v>
      </c>
      <c r="H670" s="7">
        <v>0</v>
      </c>
      <c r="I670" s="1" t="str">
        <f t="shared" si="502"/>
        <v/>
      </c>
      <c r="Q670" s="1" t="b">
        <f t="shared" si="503"/>
        <v>1</v>
      </c>
      <c r="R670" s="6"/>
    </row>
    <row r="671" spans="1:18" x14ac:dyDescent="0.15">
      <c r="D671" s="6" t="s">
        <v>8</v>
      </c>
      <c r="E671" s="1">
        <v>0</v>
      </c>
      <c r="F671" s="7">
        <v>7</v>
      </c>
      <c r="G671" s="7">
        <v>16</v>
      </c>
      <c r="H671">
        <v>10</v>
      </c>
      <c r="I671" s="1" t="str">
        <f t="shared" si="502"/>
        <v>0</v>
      </c>
      <c r="M671" s="1" t="s">
        <v>14</v>
      </c>
      <c r="Q671" s="1" t="b">
        <f t="shared" si="503"/>
        <v>1</v>
      </c>
      <c r="R671" s="6"/>
    </row>
    <row r="672" spans="1:18" x14ac:dyDescent="0.15">
      <c r="D672" s="6" t="s">
        <v>553</v>
      </c>
      <c r="E672" s="1">
        <v>0</v>
      </c>
      <c r="F672" s="7">
        <v>7</v>
      </c>
      <c r="G672" s="7">
        <v>16</v>
      </c>
      <c r="H672">
        <v>0</v>
      </c>
      <c r="I672" s="1" t="str">
        <f t="shared" si="502"/>
        <v/>
      </c>
      <c r="Q672" s="1" t="b">
        <f t="shared" ref="Q672" si="504">getText(I672)=getText(M672)</f>
        <v>1</v>
      </c>
      <c r="R672" s="6"/>
    </row>
    <row r="673" spans="2:18" x14ac:dyDescent="0.15">
      <c r="D673" s="6" t="s">
        <v>9</v>
      </c>
      <c r="E673" s="1">
        <v>0</v>
      </c>
      <c r="F673" s="7">
        <v>16</v>
      </c>
      <c r="G673" s="6">
        <v>2</v>
      </c>
      <c r="H673">
        <v>10</v>
      </c>
      <c r="I673" s="1" t="str">
        <f t="shared" si="502"/>
        <v>0</v>
      </c>
      <c r="M673" s="1" t="s">
        <v>14</v>
      </c>
      <c r="Q673" s="1" t="b">
        <f t="shared" si="503"/>
        <v>1</v>
      </c>
      <c r="R673" s="6"/>
    </row>
    <row r="674" spans="2:18" x14ac:dyDescent="0.15">
      <c r="D674" s="6" t="s">
        <v>10</v>
      </c>
      <c r="E674" s="1">
        <v>0</v>
      </c>
      <c r="F674" s="7">
        <v>16</v>
      </c>
      <c r="G674" s="7">
        <v>7</v>
      </c>
      <c r="H674">
        <v>10</v>
      </c>
      <c r="I674" s="1" t="str">
        <f t="shared" si="502"/>
        <v>0</v>
      </c>
      <c r="M674" s="1" t="s">
        <v>14</v>
      </c>
      <c r="Q674" s="1" t="b">
        <f t="shared" si="503"/>
        <v>1</v>
      </c>
      <c r="R674" s="6"/>
    </row>
    <row r="675" spans="2:18" x14ac:dyDescent="0.15">
      <c r="D675" s="6" t="s">
        <v>11</v>
      </c>
      <c r="E675" s="1">
        <v>0</v>
      </c>
      <c r="F675" s="7">
        <v>16</v>
      </c>
      <c r="G675" s="7">
        <v>16</v>
      </c>
      <c r="H675">
        <v>10</v>
      </c>
      <c r="I675" s="1" t="str">
        <f t="shared" si="502"/>
        <v>0</v>
      </c>
      <c r="M675" s="1" t="s">
        <v>14</v>
      </c>
      <c r="Q675" s="1" t="b">
        <f t="shared" si="503"/>
        <v>1</v>
      </c>
      <c r="R675" s="6"/>
    </row>
    <row r="676" spans="2:18" x14ac:dyDescent="0.15">
      <c r="B676" s="2" t="s">
        <v>454</v>
      </c>
      <c r="C676" s="22">
        <v>0.1</v>
      </c>
      <c r="D676" s="2" t="s">
        <v>3</v>
      </c>
      <c r="E676" s="3">
        <v>1</v>
      </c>
      <c r="F676" s="2">
        <v>2</v>
      </c>
      <c r="G676" s="2">
        <v>2</v>
      </c>
      <c r="H676" s="2">
        <v>10</v>
      </c>
      <c r="I676" s="3" t="str">
        <f t="shared" si="502"/>
        <v>1</v>
      </c>
      <c r="J676" s="2"/>
      <c r="K676" s="2"/>
      <c r="L676" s="2"/>
      <c r="M676" s="3" t="s">
        <v>44</v>
      </c>
      <c r="N676" s="2"/>
      <c r="O676" s="2"/>
      <c r="P676" s="2"/>
      <c r="Q676" s="3" t="b">
        <f t="shared" ref="Q676" si="505">getText(I676)=getText(M676)</f>
        <v>1</v>
      </c>
      <c r="R676" s="6"/>
    </row>
    <row r="677" spans="2:18" x14ac:dyDescent="0.15">
      <c r="D677" s="6" t="s">
        <v>4</v>
      </c>
      <c r="E677" s="1">
        <v>1</v>
      </c>
      <c r="F677">
        <v>2</v>
      </c>
      <c r="G677">
        <v>7</v>
      </c>
      <c r="H677">
        <v>10</v>
      </c>
      <c r="I677" s="1" t="str">
        <f t="shared" si="502"/>
        <v>3333333333</v>
      </c>
      <c r="M677" s="1" t="s">
        <v>425</v>
      </c>
      <c r="Q677" s="1" t="b">
        <f t="shared" ref="Q677" si="506">getText(I677)=getText(M677)</f>
        <v>1</v>
      </c>
      <c r="R677" s="6"/>
    </row>
    <row r="678" spans="2:18" x14ac:dyDescent="0.15">
      <c r="D678" s="6" t="s">
        <v>5</v>
      </c>
      <c r="E678" s="1">
        <v>1</v>
      </c>
      <c r="F678">
        <v>2</v>
      </c>
      <c r="G678">
        <v>16</v>
      </c>
      <c r="H678">
        <v>10</v>
      </c>
      <c r="I678" s="1" t="str">
        <f t="shared" si="502"/>
        <v>8</v>
      </c>
      <c r="M678" s="1" t="s">
        <v>426</v>
      </c>
      <c r="Q678" s="1" t="b">
        <f t="shared" ref="Q678" si="507">getText(I678)=getText(M678)</f>
        <v>1</v>
      </c>
      <c r="R678" s="6"/>
    </row>
    <row r="679" spans="2:18" x14ac:dyDescent="0.15">
      <c r="D679" s="6" t="s">
        <v>6</v>
      </c>
      <c r="E679" s="1">
        <v>1</v>
      </c>
      <c r="F679">
        <v>7</v>
      </c>
      <c r="G679">
        <v>2</v>
      </c>
      <c r="H679">
        <v>10</v>
      </c>
      <c r="I679" s="1" t="str">
        <f t="shared" si="502"/>
        <v>0010010010</v>
      </c>
      <c r="M679" s="1" t="s">
        <v>427</v>
      </c>
      <c r="Q679" s="1" t="b">
        <f t="shared" ref="Q679" si="508">getText(I679)=getText(M679)</f>
        <v>1</v>
      </c>
      <c r="R679" s="6"/>
    </row>
    <row r="680" spans="2:18" x14ac:dyDescent="0.15">
      <c r="D680" s="6" t="s">
        <v>7</v>
      </c>
      <c r="E680" s="1">
        <v>1</v>
      </c>
      <c r="F680">
        <v>7</v>
      </c>
      <c r="G680">
        <v>7</v>
      </c>
      <c r="H680">
        <v>10</v>
      </c>
      <c r="I680" s="1" t="str">
        <f t="shared" si="502"/>
        <v>1</v>
      </c>
      <c r="M680" s="1" t="s">
        <v>44</v>
      </c>
      <c r="Q680" s="1" t="b">
        <f t="shared" ref="Q680" si="509">getText(I680)=getText(M680)</f>
        <v>1</v>
      </c>
      <c r="R680" s="6"/>
    </row>
    <row r="681" spans="2:18" x14ac:dyDescent="0.15">
      <c r="D681" s="6" t="s">
        <v>8</v>
      </c>
      <c r="E681" s="1">
        <v>1</v>
      </c>
      <c r="F681">
        <v>7</v>
      </c>
      <c r="G681">
        <v>16</v>
      </c>
      <c r="H681">
        <v>10</v>
      </c>
      <c r="I681" s="1" t="str">
        <f t="shared" si="502"/>
        <v>2492492492</v>
      </c>
      <c r="M681" s="1" t="s">
        <v>428</v>
      </c>
      <c r="Q681" s="1" t="b">
        <f t="shared" ref="Q681" si="510">getText(I681)=getText(M681)</f>
        <v>1</v>
      </c>
      <c r="R681" s="6"/>
    </row>
    <row r="682" spans="2:18" x14ac:dyDescent="0.15">
      <c r="D682" s="6" t="s">
        <v>9</v>
      </c>
      <c r="E682" s="1">
        <v>1</v>
      </c>
      <c r="F682">
        <v>16</v>
      </c>
      <c r="G682">
        <v>2</v>
      </c>
      <c r="H682">
        <v>10</v>
      </c>
      <c r="I682" s="1" t="str">
        <f t="shared" si="502"/>
        <v>0001</v>
      </c>
      <c r="M682" s="1" t="s">
        <v>429</v>
      </c>
      <c r="Q682" s="1" t="b">
        <f t="shared" ref="Q682" si="511">getText(I682)=getText(M682)</f>
        <v>1</v>
      </c>
      <c r="R682" s="6"/>
    </row>
    <row r="683" spans="2:18" x14ac:dyDescent="0.15">
      <c r="D683" s="6" t="s">
        <v>10</v>
      </c>
      <c r="E683" s="1">
        <v>1</v>
      </c>
      <c r="F683">
        <v>16</v>
      </c>
      <c r="G683">
        <v>7</v>
      </c>
      <c r="H683">
        <v>10</v>
      </c>
      <c r="I683" s="1" t="str">
        <f t="shared" si="502"/>
        <v>0303030303</v>
      </c>
      <c r="M683" s="1" t="s">
        <v>430</v>
      </c>
      <c r="Q683" s="1" t="b">
        <f t="shared" ref="Q683:Q684" si="512">getText(I683)=getText(M683)</f>
        <v>1</v>
      </c>
      <c r="R683" s="6"/>
    </row>
    <row r="684" spans="2:18" x14ac:dyDescent="0.15">
      <c r="D684" s="6" t="s">
        <v>11</v>
      </c>
      <c r="E684" s="1">
        <v>1</v>
      </c>
      <c r="F684">
        <v>16</v>
      </c>
      <c r="G684">
        <v>16</v>
      </c>
      <c r="H684">
        <v>10</v>
      </c>
      <c r="I684" s="1" t="str">
        <f t="shared" si="502"/>
        <v>1</v>
      </c>
      <c r="M684" s="1" t="s">
        <v>44</v>
      </c>
      <c r="Q684" s="1" t="b">
        <f t="shared" si="512"/>
        <v>1</v>
      </c>
      <c r="R684" s="6"/>
    </row>
    <row r="685" spans="2:18" x14ac:dyDescent="0.15">
      <c r="B685" s="2" t="s">
        <v>455</v>
      </c>
      <c r="C685" s="25" t="s">
        <v>439</v>
      </c>
      <c r="D685" s="2" t="s">
        <v>3</v>
      </c>
      <c r="E685" s="3">
        <v>10</v>
      </c>
      <c r="F685" s="2">
        <v>2</v>
      </c>
      <c r="G685" s="2">
        <v>2</v>
      </c>
      <c r="H685" s="2">
        <v>10</v>
      </c>
      <c r="I685" s="3" t="str">
        <f t="shared" si="502"/>
        <v>1</v>
      </c>
      <c r="J685" s="2"/>
      <c r="K685" s="2"/>
      <c r="L685" s="2"/>
      <c r="M685" s="3" t="s">
        <v>44</v>
      </c>
      <c r="N685" s="2"/>
      <c r="O685" s="2"/>
      <c r="P685" s="2"/>
      <c r="Q685" s="3" t="b">
        <f t="shared" ref="Q685:Q693" si="513">getText(I685)=getText(M685)</f>
        <v>1</v>
      </c>
      <c r="R685" s="6"/>
    </row>
    <row r="686" spans="2:18" x14ac:dyDescent="0.15">
      <c r="D686" s="6" t="s">
        <v>4</v>
      </c>
      <c r="E686" s="1">
        <v>10</v>
      </c>
      <c r="F686">
        <v>2</v>
      </c>
      <c r="G686">
        <v>7</v>
      </c>
      <c r="H686">
        <v>10</v>
      </c>
      <c r="I686" s="1" t="str">
        <f t="shared" si="502"/>
        <v>3333333333</v>
      </c>
      <c r="M686" s="1" t="s">
        <v>425</v>
      </c>
      <c r="Q686" s="1" t="b">
        <f t="shared" si="513"/>
        <v>1</v>
      </c>
      <c r="R686" s="6"/>
    </row>
    <row r="687" spans="2:18" x14ac:dyDescent="0.15">
      <c r="D687" s="6" t="s">
        <v>5</v>
      </c>
      <c r="E687" s="1">
        <v>10</v>
      </c>
      <c r="F687">
        <v>2</v>
      </c>
      <c r="G687">
        <v>16</v>
      </c>
      <c r="H687">
        <v>10</v>
      </c>
      <c r="I687" s="1" t="str">
        <f t="shared" si="502"/>
        <v>8</v>
      </c>
      <c r="M687" s="1" t="s">
        <v>426</v>
      </c>
      <c r="Q687" s="1" t="b">
        <f t="shared" si="513"/>
        <v>1</v>
      </c>
      <c r="R687" s="6"/>
    </row>
    <row r="688" spans="2:18" x14ac:dyDescent="0.15">
      <c r="D688" s="6" t="s">
        <v>6</v>
      </c>
      <c r="E688" s="1">
        <v>10</v>
      </c>
      <c r="F688">
        <v>7</v>
      </c>
      <c r="G688">
        <v>2</v>
      </c>
      <c r="H688">
        <v>10</v>
      </c>
      <c r="I688" s="1" t="str">
        <f t="shared" si="502"/>
        <v>0010010010</v>
      </c>
      <c r="M688" s="1" t="s">
        <v>427</v>
      </c>
      <c r="Q688" s="1" t="b">
        <f t="shared" si="513"/>
        <v>1</v>
      </c>
      <c r="R688" s="6"/>
    </row>
    <row r="689" spans="2:18" x14ac:dyDescent="0.15">
      <c r="D689" s="6" t="s">
        <v>7</v>
      </c>
      <c r="E689" s="1">
        <v>10</v>
      </c>
      <c r="F689">
        <v>7</v>
      </c>
      <c r="G689">
        <v>7</v>
      </c>
      <c r="H689">
        <v>10</v>
      </c>
      <c r="I689" s="1" t="str">
        <f t="shared" si="502"/>
        <v>1</v>
      </c>
      <c r="M689" s="1" t="s">
        <v>44</v>
      </c>
      <c r="Q689" s="1" t="b">
        <f t="shared" si="513"/>
        <v>1</v>
      </c>
      <c r="R689" s="6"/>
    </row>
    <row r="690" spans="2:18" x14ac:dyDescent="0.15">
      <c r="D690" s="6" t="s">
        <v>8</v>
      </c>
      <c r="E690" s="1">
        <v>10</v>
      </c>
      <c r="F690">
        <v>7</v>
      </c>
      <c r="G690">
        <v>16</v>
      </c>
      <c r="H690">
        <v>10</v>
      </c>
      <c r="I690" s="1" t="str">
        <f t="shared" si="502"/>
        <v>2492492492</v>
      </c>
      <c r="M690" s="1" t="s">
        <v>428</v>
      </c>
      <c r="Q690" s="1" t="b">
        <f t="shared" si="513"/>
        <v>1</v>
      </c>
      <c r="R690" s="6"/>
    </row>
    <row r="691" spans="2:18" x14ac:dyDescent="0.15">
      <c r="D691" s="6" t="s">
        <v>9</v>
      </c>
      <c r="E691" s="1">
        <v>10</v>
      </c>
      <c r="F691">
        <v>16</v>
      </c>
      <c r="G691">
        <v>2</v>
      </c>
      <c r="H691">
        <v>10</v>
      </c>
      <c r="I691" s="1" t="str">
        <f t="shared" si="502"/>
        <v>0001</v>
      </c>
      <c r="M691" s="1" t="s">
        <v>429</v>
      </c>
      <c r="Q691" s="1" t="b">
        <f t="shared" si="513"/>
        <v>1</v>
      </c>
      <c r="R691" s="6"/>
    </row>
    <row r="692" spans="2:18" x14ac:dyDescent="0.15">
      <c r="D692" s="6" t="s">
        <v>10</v>
      </c>
      <c r="E692" s="1">
        <v>10</v>
      </c>
      <c r="F692">
        <v>16</v>
      </c>
      <c r="G692">
        <v>7</v>
      </c>
      <c r="H692">
        <v>10</v>
      </c>
      <c r="I692" s="1" t="str">
        <f t="shared" si="502"/>
        <v>0303030303</v>
      </c>
      <c r="M692" s="1" t="s">
        <v>430</v>
      </c>
      <c r="Q692" s="1" t="b">
        <f t="shared" si="513"/>
        <v>1</v>
      </c>
      <c r="R692" s="6"/>
    </row>
    <row r="693" spans="2:18" x14ac:dyDescent="0.15">
      <c r="D693" s="6" t="s">
        <v>11</v>
      </c>
      <c r="E693" s="1">
        <v>10</v>
      </c>
      <c r="F693">
        <v>16</v>
      </c>
      <c r="G693">
        <v>16</v>
      </c>
      <c r="H693">
        <v>10</v>
      </c>
      <c r="I693" s="1" t="str">
        <f t="shared" si="502"/>
        <v>1</v>
      </c>
      <c r="M693" s="1" t="s">
        <v>44</v>
      </c>
      <c r="Q693" s="1" t="b">
        <f t="shared" si="513"/>
        <v>1</v>
      </c>
      <c r="R693" s="6"/>
    </row>
    <row r="694" spans="2:18" x14ac:dyDescent="0.15">
      <c r="B694" s="2" t="s">
        <v>456</v>
      </c>
      <c r="C694" s="2" t="s">
        <v>202</v>
      </c>
      <c r="D694" s="2" t="s">
        <v>431</v>
      </c>
      <c r="E694" s="11" t="s">
        <v>447</v>
      </c>
      <c r="F694" s="2">
        <v>2</v>
      </c>
      <c r="G694" s="2">
        <v>4</v>
      </c>
      <c r="H694" s="2">
        <v>10</v>
      </c>
      <c r="I694" s="3" t="str">
        <f t="shared" si="502"/>
        <v>1</v>
      </c>
      <c r="J694" s="2"/>
      <c r="K694" s="2"/>
      <c r="L694" s="2"/>
      <c r="M694" s="3" t="s">
        <v>44</v>
      </c>
      <c r="N694" s="2"/>
      <c r="O694" s="2"/>
      <c r="P694" s="2"/>
      <c r="Q694" s="3" t="b">
        <f t="shared" ref="Q694:Q702" si="514">getText(I694)=getText(M694)</f>
        <v>1</v>
      </c>
      <c r="R694" s="6"/>
    </row>
    <row r="695" spans="2:18" x14ac:dyDescent="0.15">
      <c r="D695" s="6" t="s">
        <v>432</v>
      </c>
      <c r="E695" s="9" t="s">
        <v>440</v>
      </c>
      <c r="F695">
        <v>2</v>
      </c>
      <c r="G695">
        <v>8</v>
      </c>
      <c r="H695">
        <v>10</v>
      </c>
      <c r="I695" s="1" t="str">
        <f t="shared" si="502"/>
        <v>1</v>
      </c>
      <c r="M695" s="1" t="s">
        <v>44</v>
      </c>
      <c r="Q695" s="1" t="b">
        <f>getText(I695)=getText(M695)</f>
        <v>1</v>
      </c>
      <c r="R695" s="6"/>
    </row>
    <row r="696" spans="2:18" x14ac:dyDescent="0.15">
      <c r="D696" s="6" t="s">
        <v>5</v>
      </c>
      <c r="E696" s="9" t="s">
        <v>441</v>
      </c>
      <c r="F696">
        <v>2</v>
      </c>
      <c r="G696">
        <v>16</v>
      </c>
      <c r="H696">
        <v>10</v>
      </c>
      <c r="I696" s="1" t="str">
        <f t="shared" si="502"/>
        <v>1</v>
      </c>
      <c r="M696" s="1" t="s">
        <v>44</v>
      </c>
      <c r="Q696" s="1" t="b">
        <f t="shared" si="514"/>
        <v>1</v>
      </c>
      <c r="R696" s="6"/>
    </row>
    <row r="697" spans="2:18" x14ac:dyDescent="0.15">
      <c r="D697" s="6" t="s">
        <v>435</v>
      </c>
      <c r="E697" s="1">
        <v>4</v>
      </c>
      <c r="F697">
        <v>8</v>
      </c>
      <c r="G697">
        <v>2</v>
      </c>
      <c r="H697">
        <v>10</v>
      </c>
      <c r="I697" s="1" t="str">
        <f t="shared" ref="I697:I724" si="515">TESTconvRadixOfFrc(E697,F697,G697,H697)</f>
        <v>1</v>
      </c>
      <c r="M697" s="1" t="s">
        <v>44</v>
      </c>
      <c r="Q697" s="1" t="b">
        <f t="shared" si="514"/>
        <v>1</v>
      </c>
      <c r="R697" s="6"/>
    </row>
    <row r="698" spans="2:18" x14ac:dyDescent="0.15">
      <c r="D698" s="6" t="s">
        <v>436</v>
      </c>
      <c r="E698" s="1">
        <v>2</v>
      </c>
      <c r="F698">
        <v>8</v>
      </c>
      <c r="G698">
        <v>4</v>
      </c>
      <c r="H698">
        <v>10</v>
      </c>
      <c r="I698" s="1" t="str">
        <f t="shared" si="515"/>
        <v>1</v>
      </c>
      <c r="M698" s="1" t="s">
        <v>44</v>
      </c>
      <c r="Q698" s="1" t="b">
        <f t="shared" si="514"/>
        <v>1</v>
      </c>
      <c r="R698" s="6"/>
    </row>
    <row r="699" spans="2:18" x14ac:dyDescent="0.15">
      <c r="D699" s="6" t="s">
        <v>437</v>
      </c>
      <c r="E699" s="9" t="s">
        <v>451</v>
      </c>
      <c r="F699">
        <v>8</v>
      </c>
      <c r="G699">
        <v>16</v>
      </c>
      <c r="H699">
        <v>10</v>
      </c>
      <c r="I699" s="1" t="str">
        <f t="shared" si="515"/>
        <v>1</v>
      </c>
      <c r="M699" s="1" t="s">
        <v>44</v>
      </c>
      <c r="Q699" s="1" t="b">
        <f t="shared" si="514"/>
        <v>1</v>
      </c>
      <c r="R699" s="6"/>
    </row>
    <row r="700" spans="2:18" x14ac:dyDescent="0.15">
      <c r="D700" s="6" t="s">
        <v>9</v>
      </c>
      <c r="E700" s="1">
        <v>8</v>
      </c>
      <c r="F700">
        <v>16</v>
      </c>
      <c r="G700">
        <v>2</v>
      </c>
      <c r="H700">
        <v>10</v>
      </c>
      <c r="I700" s="1" t="str">
        <f t="shared" si="515"/>
        <v>1</v>
      </c>
      <c r="M700" s="1" t="s">
        <v>44</v>
      </c>
      <c r="Q700" s="1" t="b">
        <f t="shared" si="514"/>
        <v>1</v>
      </c>
      <c r="R700" s="6"/>
    </row>
    <row r="701" spans="2:18" x14ac:dyDescent="0.15">
      <c r="D701" s="6" t="s">
        <v>433</v>
      </c>
      <c r="E701" s="1">
        <v>4</v>
      </c>
      <c r="F701">
        <v>16</v>
      </c>
      <c r="G701">
        <v>4</v>
      </c>
      <c r="H701">
        <v>10</v>
      </c>
      <c r="I701" s="1" t="str">
        <f t="shared" si="515"/>
        <v>1</v>
      </c>
      <c r="M701" s="1" t="s">
        <v>44</v>
      </c>
      <c r="Q701" s="1" t="b">
        <f t="shared" si="514"/>
        <v>1</v>
      </c>
      <c r="R701" s="6"/>
    </row>
    <row r="702" spans="2:18" x14ac:dyDescent="0.15">
      <c r="D702" s="6" t="s">
        <v>434</v>
      </c>
      <c r="E702" s="1">
        <v>2</v>
      </c>
      <c r="F702">
        <v>16</v>
      </c>
      <c r="G702">
        <v>8</v>
      </c>
      <c r="H702">
        <v>10</v>
      </c>
      <c r="I702" s="1" t="str">
        <f t="shared" si="515"/>
        <v>1</v>
      </c>
      <c r="M702" s="1" t="s">
        <v>44</v>
      </c>
      <c r="Q702" s="1" t="b">
        <f t="shared" si="514"/>
        <v>1</v>
      </c>
      <c r="R702" s="6"/>
    </row>
    <row r="703" spans="2:18" x14ac:dyDescent="0.15">
      <c r="C703" s="2" t="s">
        <v>207</v>
      </c>
      <c r="D703" s="2" t="s">
        <v>431</v>
      </c>
      <c r="E703" s="11" t="s">
        <v>441</v>
      </c>
      <c r="F703" s="2">
        <v>2</v>
      </c>
      <c r="G703" s="2">
        <v>4</v>
      </c>
      <c r="H703" s="2">
        <v>10</v>
      </c>
      <c r="I703" s="3" t="str">
        <f t="shared" si="515"/>
        <v>01</v>
      </c>
      <c r="J703" s="2"/>
      <c r="K703" s="2"/>
      <c r="L703" s="2"/>
      <c r="M703" s="3" t="s">
        <v>231</v>
      </c>
      <c r="N703" s="2"/>
      <c r="O703" s="2"/>
      <c r="P703" s="2"/>
      <c r="Q703" s="3" t="b">
        <f t="shared" ref="Q703:Q711" si="516">getText(I703)=getText(M703)</f>
        <v>1</v>
      </c>
      <c r="R703" s="6"/>
    </row>
    <row r="704" spans="2:18" x14ac:dyDescent="0.15">
      <c r="C704" s="6"/>
      <c r="D704" s="6" t="s">
        <v>432</v>
      </c>
      <c r="E704" s="9" t="s">
        <v>446</v>
      </c>
      <c r="F704">
        <v>2</v>
      </c>
      <c r="G704">
        <v>8</v>
      </c>
      <c r="H704">
        <v>10</v>
      </c>
      <c r="I704" s="1" t="str">
        <f t="shared" si="515"/>
        <v>01</v>
      </c>
      <c r="J704" s="6"/>
      <c r="K704" s="6"/>
      <c r="L704" s="6"/>
      <c r="M704" s="1" t="s">
        <v>231</v>
      </c>
      <c r="N704" s="6"/>
      <c r="O704" s="6"/>
      <c r="P704" s="6"/>
      <c r="Q704" s="1" t="b">
        <f t="shared" si="516"/>
        <v>1</v>
      </c>
      <c r="R704" s="6"/>
    </row>
    <row r="705" spans="3:18" x14ac:dyDescent="0.15">
      <c r="D705" s="6" t="s">
        <v>5</v>
      </c>
      <c r="E705" s="9" t="s">
        <v>448</v>
      </c>
      <c r="F705">
        <v>2</v>
      </c>
      <c r="G705">
        <v>16</v>
      </c>
      <c r="H705">
        <v>10</v>
      </c>
      <c r="I705" s="1" t="str">
        <f t="shared" si="515"/>
        <v>01</v>
      </c>
      <c r="M705" s="1" t="s">
        <v>231</v>
      </c>
      <c r="Q705" s="1" t="b">
        <f t="shared" si="516"/>
        <v>1</v>
      </c>
      <c r="R705" s="6"/>
    </row>
    <row r="706" spans="3:18" x14ac:dyDescent="0.15">
      <c r="D706" s="6" t="s">
        <v>435</v>
      </c>
      <c r="E706" s="9" t="s">
        <v>444</v>
      </c>
      <c r="F706">
        <v>8</v>
      </c>
      <c r="G706">
        <v>2</v>
      </c>
      <c r="H706">
        <v>10</v>
      </c>
      <c r="I706" s="1" t="str">
        <f t="shared" si="515"/>
        <v>01</v>
      </c>
      <c r="M706" s="1" t="s">
        <v>231</v>
      </c>
      <c r="Q706" s="1" t="b">
        <f t="shared" si="516"/>
        <v>1</v>
      </c>
      <c r="R706" s="6"/>
    </row>
    <row r="707" spans="3:18" x14ac:dyDescent="0.15">
      <c r="D707" s="6" t="s">
        <v>436</v>
      </c>
      <c r="E707" s="9" t="s">
        <v>451</v>
      </c>
      <c r="F707">
        <v>8</v>
      </c>
      <c r="G707">
        <v>4</v>
      </c>
      <c r="H707">
        <v>10</v>
      </c>
      <c r="I707" s="1" t="str">
        <f t="shared" si="515"/>
        <v>01</v>
      </c>
      <c r="M707" s="1" t="s">
        <v>231</v>
      </c>
      <c r="Q707" s="1" t="b">
        <f t="shared" si="516"/>
        <v>1</v>
      </c>
      <c r="R707" s="6"/>
    </row>
    <row r="708" spans="3:18" x14ac:dyDescent="0.15">
      <c r="D708" s="6" t="s">
        <v>437</v>
      </c>
      <c r="E708" s="9" t="s">
        <v>445</v>
      </c>
      <c r="F708">
        <v>8</v>
      </c>
      <c r="G708">
        <v>16</v>
      </c>
      <c r="H708">
        <v>10</v>
      </c>
      <c r="I708" s="1" t="str">
        <f t="shared" si="515"/>
        <v>01</v>
      </c>
      <c r="M708" s="1" t="s">
        <v>231</v>
      </c>
      <c r="Q708" s="1" t="b">
        <f t="shared" si="516"/>
        <v>1</v>
      </c>
      <c r="R708" s="6"/>
    </row>
    <row r="709" spans="3:18" x14ac:dyDescent="0.15">
      <c r="D709" s="6" t="s">
        <v>9</v>
      </c>
      <c r="E709" s="9" t="s">
        <v>442</v>
      </c>
      <c r="F709">
        <v>16</v>
      </c>
      <c r="G709">
        <v>2</v>
      </c>
      <c r="H709">
        <v>10</v>
      </c>
      <c r="I709" s="1" t="str">
        <f t="shared" si="515"/>
        <v>01</v>
      </c>
      <c r="M709" s="1" t="s">
        <v>231</v>
      </c>
      <c r="Q709" s="1" t="b">
        <f t="shared" si="516"/>
        <v>1</v>
      </c>
      <c r="R709" s="6"/>
    </row>
    <row r="710" spans="3:18" x14ac:dyDescent="0.15">
      <c r="D710" s="6" t="s">
        <v>433</v>
      </c>
      <c r="E710" s="9" t="s">
        <v>443</v>
      </c>
      <c r="F710">
        <v>16</v>
      </c>
      <c r="G710">
        <v>4</v>
      </c>
      <c r="H710">
        <v>10</v>
      </c>
      <c r="I710" s="1" t="str">
        <f t="shared" si="515"/>
        <v>01</v>
      </c>
      <c r="M710" s="1" t="s">
        <v>231</v>
      </c>
      <c r="Q710" s="1" t="b">
        <f t="shared" si="516"/>
        <v>1</v>
      </c>
      <c r="R710" s="6"/>
    </row>
    <row r="711" spans="3:18" x14ac:dyDescent="0.15">
      <c r="D711" s="6" t="s">
        <v>434</v>
      </c>
      <c r="E711" s="9" t="s">
        <v>451</v>
      </c>
      <c r="F711">
        <v>16</v>
      </c>
      <c r="G711">
        <v>8</v>
      </c>
      <c r="H711">
        <v>10</v>
      </c>
      <c r="I711" s="1" t="str">
        <f t="shared" si="515"/>
        <v>01</v>
      </c>
      <c r="M711" s="1" t="s">
        <v>231</v>
      </c>
      <c r="Q711" s="1" t="b">
        <f t="shared" si="516"/>
        <v>1</v>
      </c>
      <c r="R711" s="6"/>
    </row>
    <row r="712" spans="3:18" x14ac:dyDescent="0.15">
      <c r="C712" s="2" t="s">
        <v>208</v>
      </c>
      <c r="D712" s="2" t="s">
        <v>431</v>
      </c>
      <c r="E712" s="11" t="s">
        <v>446</v>
      </c>
      <c r="F712" s="2">
        <v>2</v>
      </c>
      <c r="G712" s="2">
        <v>4</v>
      </c>
      <c r="H712" s="2">
        <v>10</v>
      </c>
      <c r="I712" s="3" t="str">
        <f t="shared" si="515"/>
        <v>001</v>
      </c>
      <c r="J712" s="2"/>
      <c r="K712" s="2"/>
      <c r="L712" s="2"/>
      <c r="M712" s="3" t="s">
        <v>81</v>
      </c>
      <c r="N712" s="2"/>
      <c r="O712" s="2"/>
      <c r="P712" s="2"/>
      <c r="Q712" s="3" t="b">
        <f t="shared" ref="Q712:Q713" si="517">getText(I712)=getText(M712)</f>
        <v>1</v>
      </c>
      <c r="R712" s="6"/>
    </row>
    <row r="713" spans="3:18" x14ac:dyDescent="0.15">
      <c r="D713" s="6" t="s">
        <v>432</v>
      </c>
      <c r="E713" s="9" t="s">
        <v>449</v>
      </c>
      <c r="F713">
        <v>2</v>
      </c>
      <c r="G713">
        <v>8</v>
      </c>
      <c r="H713">
        <v>10</v>
      </c>
      <c r="I713" s="1" t="str">
        <f t="shared" si="515"/>
        <v>001</v>
      </c>
      <c r="M713" s="1" t="s">
        <v>81</v>
      </c>
      <c r="Q713" s="1" t="b">
        <f t="shared" si="517"/>
        <v>1</v>
      </c>
      <c r="R713" s="6"/>
    </row>
    <row r="714" spans="3:18" x14ac:dyDescent="0.15">
      <c r="D714" s="6" t="s">
        <v>5</v>
      </c>
      <c r="E714" s="9" t="s">
        <v>450</v>
      </c>
      <c r="F714">
        <v>2</v>
      </c>
      <c r="G714">
        <v>16</v>
      </c>
      <c r="H714">
        <v>10</v>
      </c>
      <c r="I714" s="1" t="str">
        <f t="shared" si="515"/>
        <v>001</v>
      </c>
      <c r="M714" s="1" t="s">
        <v>81</v>
      </c>
      <c r="Q714" s="1" t="b">
        <f t="shared" ref="Q714:Q724" si="518">getText(I714)=getText(M714)</f>
        <v>1</v>
      </c>
      <c r="R714" s="6"/>
    </row>
    <row r="715" spans="3:18" x14ac:dyDescent="0.15">
      <c r="D715" s="6" t="s">
        <v>435</v>
      </c>
      <c r="E715" s="9" t="s">
        <v>443</v>
      </c>
      <c r="F715">
        <v>8</v>
      </c>
      <c r="G715">
        <v>2</v>
      </c>
      <c r="H715">
        <v>10</v>
      </c>
      <c r="I715" s="1" t="str">
        <f t="shared" si="515"/>
        <v>001</v>
      </c>
      <c r="M715" s="1" t="s">
        <v>81</v>
      </c>
      <c r="Q715" s="1" t="b">
        <f t="shared" si="518"/>
        <v>1</v>
      </c>
      <c r="R715" s="6"/>
    </row>
    <row r="716" spans="3:18" x14ac:dyDescent="0.15">
      <c r="D716" s="6" t="s">
        <v>436</v>
      </c>
      <c r="E716" s="9" t="s">
        <v>447</v>
      </c>
      <c r="F716">
        <v>8</v>
      </c>
      <c r="G716">
        <v>4</v>
      </c>
      <c r="H716">
        <v>10</v>
      </c>
      <c r="I716" s="1" t="str">
        <f t="shared" si="515"/>
        <v>001</v>
      </c>
      <c r="M716" s="1" t="s">
        <v>81</v>
      </c>
      <c r="Q716" s="1" t="b">
        <f t="shared" si="518"/>
        <v>1</v>
      </c>
      <c r="R716" s="6"/>
    </row>
    <row r="717" spans="3:18" x14ac:dyDescent="0.15">
      <c r="D717" s="6" t="s">
        <v>437</v>
      </c>
      <c r="E717" s="9" t="s">
        <v>441</v>
      </c>
      <c r="F717">
        <v>8</v>
      </c>
      <c r="G717">
        <v>16</v>
      </c>
      <c r="H717">
        <v>10</v>
      </c>
      <c r="I717" s="1" t="str">
        <f t="shared" si="515"/>
        <v>001</v>
      </c>
      <c r="M717" s="1" t="s">
        <v>81</v>
      </c>
      <c r="Q717" s="1" t="b">
        <f t="shared" si="518"/>
        <v>1</v>
      </c>
      <c r="R717" s="6"/>
    </row>
    <row r="718" spans="3:18" x14ac:dyDescent="0.15">
      <c r="D718" s="6" t="s">
        <v>9</v>
      </c>
      <c r="E718" s="9" t="s">
        <v>444</v>
      </c>
      <c r="F718">
        <v>16</v>
      </c>
      <c r="G718">
        <v>2</v>
      </c>
      <c r="H718">
        <v>10</v>
      </c>
      <c r="I718" s="1" t="str">
        <f t="shared" si="515"/>
        <v>001</v>
      </c>
      <c r="M718" s="1" t="s">
        <v>81</v>
      </c>
      <c r="Q718" s="1" t="b">
        <f t="shared" si="518"/>
        <v>1</v>
      </c>
      <c r="R718" s="6"/>
    </row>
    <row r="719" spans="3:18" x14ac:dyDescent="0.15">
      <c r="D719" s="6" t="s">
        <v>433</v>
      </c>
      <c r="E719" s="9" t="s">
        <v>451</v>
      </c>
      <c r="F719">
        <v>16</v>
      </c>
      <c r="G719">
        <v>4</v>
      </c>
      <c r="H719">
        <v>10</v>
      </c>
      <c r="I719" s="1" t="str">
        <f t="shared" si="515"/>
        <v>001</v>
      </c>
      <c r="M719" s="1" t="s">
        <v>81</v>
      </c>
      <c r="Q719" s="1" t="b">
        <f t="shared" si="518"/>
        <v>1</v>
      </c>
      <c r="R719" s="6"/>
    </row>
    <row r="720" spans="3:18" x14ac:dyDescent="0.15">
      <c r="D720" s="6" t="s">
        <v>434</v>
      </c>
      <c r="E720" s="9" t="s">
        <v>452</v>
      </c>
      <c r="F720">
        <v>16</v>
      </c>
      <c r="G720">
        <v>8</v>
      </c>
      <c r="H720">
        <v>10</v>
      </c>
      <c r="I720" s="1" t="str">
        <f t="shared" si="515"/>
        <v>001</v>
      </c>
      <c r="M720" s="1" t="s">
        <v>81</v>
      </c>
      <c r="Q720" s="1" t="b">
        <f t="shared" si="518"/>
        <v>1</v>
      </c>
      <c r="R720" s="6"/>
    </row>
    <row r="721" spans="2:18" x14ac:dyDescent="0.15">
      <c r="B721" s="2" t="s">
        <v>424</v>
      </c>
      <c r="C721" s="22">
        <v>0</v>
      </c>
      <c r="D721" s="2"/>
      <c r="E721" s="3">
        <v>1</v>
      </c>
      <c r="F721" s="2">
        <v>3</v>
      </c>
      <c r="G721" s="2">
        <v>10</v>
      </c>
      <c r="H721" s="2">
        <v>0</v>
      </c>
      <c r="I721" s="3" t="str">
        <f t="shared" si="515"/>
        <v/>
      </c>
      <c r="J721" s="2"/>
      <c r="K721" s="2"/>
      <c r="L721" s="2"/>
      <c r="M721" s="3" t="s">
        <v>45</v>
      </c>
      <c r="N721" s="2"/>
      <c r="O721" s="2"/>
      <c r="P721" s="2"/>
      <c r="Q721" s="3" t="b">
        <f t="shared" si="518"/>
        <v>1</v>
      </c>
      <c r="R721" s="6"/>
    </row>
    <row r="722" spans="2:18" x14ac:dyDescent="0.15">
      <c r="C722" s="27">
        <v>1</v>
      </c>
      <c r="E722" s="1">
        <v>1</v>
      </c>
      <c r="F722">
        <v>3</v>
      </c>
      <c r="G722">
        <v>10</v>
      </c>
      <c r="H722">
        <v>1</v>
      </c>
      <c r="I722" s="1" t="str">
        <f t="shared" si="515"/>
        <v>3</v>
      </c>
      <c r="M722" s="1" t="s">
        <v>80</v>
      </c>
      <c r="Q722" s="1" t="b">
        <f t="shared" si="518"/>
        <v>1</v>
      </c>
      <c r="R722" s="6"/>
    </row>
    <row r="723" spans="2:18" x14ac:dyDescent="0.15">
      <c r="C723" s="27">
        <v>2</v>
      </c>
      <c r="E723" s="1">
        <v>1</v>
      </c>
      <c r="F723">
        <v>3</v>
      </c>
      <c r="G723">
        <v>10</v>
      </c>
      <c r="H723">
        <v>2</v>
      </c>
      <c r="I723" s="1" t="str">
        <f t="shared" si="515"/>
        <v>33</v>
      </c>
      <c r="M723" s="1" t="s">
        <v>457</v>
      </c>
      <c r="Q723" s="1" t="b">
        <f t="shared" si="518"/>
        <v>1</v>
      </c>
      <c r="R723" s="6"/>
    </row>
    <row r="724" spans="2:18" x14ac:dyDescent="0.15">
      <c r="C724" s="34">
        <v>255</v>
      </c>
      <c r="E724" s="1">
        <v>1</v>
      </c>
      <c r="F724">
        <v>3</v>
      </c>
      <c r="G724">
        <v>10</v>
      </c>
      <c r="H724" s="15">
        <v>255</v>
      </c>
      <c r="I724" s="1" t="str">
        <f t="shared" si="515"/>
        <v>333333333333333333333333333333333333333333333333333333333333333333333333333333333333333333333333333333333333333333333333333333333333333333333333333333333333333333333333333333333333333333333333333333333333333333333333333333333333333333333333333333333333333</v>
      </c>
      <c r="M724" s="1" t="s">
        <v>458</v>
      </c>
      <c r="Q724" s="1" t="b">
        <f t="shared" si="518"/>
        <v>1</v>
      </c>
      <c r="R724" s="6"/>
    </row>
    <row r="725" spans="2:18" x14ac:dyDescent="0.15">
      <c r="R725" s="6"/>
    </row>
  </sheetData>
  <phoneticPr fontId="1"/>
  <conditionalFormatting sqref="B1">
    <cfRule type="cellIs" dxfId="31" priority="68" operator="equal">
      <formula>"NG"</formula>
    </cfRule>
    <cfRule type="cellIs" dxfId="30" priority="69" operator="equal">
      <formula>"OK"</formula>
    </cfRule>
  </conditionalFormatting>
  <conditionalFormatting sqref="Q211:T578 Q1:T59 Q80:Q90 Q104:Q107 Q585:T601 T582:T584 Q580:T581 T579 Q605:T1048576 T602:T604 Q123:T190 Q60:Q75 Q93:R102 S60:T122">
    <cfRule type="expression" dxfId="29" priority="35">
      <formula>AND(Q1&lt;&gt;"",Q1=FALSE)</formula>
    </cfRule>
  </conditionalFormatting>
  <conditionalFormatting sqref="Q191:T193">
    <cfRule type="expression" dxfId="28" priority="29">
      <formula>AND(Q191&lt;&gt;"",Q191=FALSE)</formula>
    </cfRule>
  </conditionalFormatting>
  <conditionalFormatting sqref="Q194:T196">
    <cfRule type="expression" dxfId="27" priority="28">
      <formula>AND(Q194&lt;&gt;"",Q194=FALSE)</formula>
    </cfRule>
  </conditionalFormatting>
  <conditionalFormatting sqref="Q197:T199">
    <cfRule type="expression" dxfId="26" priority="27">
      <formula>AND(Q197&lt;&gt;"",Q197=FALSE)</formula>
    </cfRule>
  </conditionalFormatting>
  <conditionalFormatting sqref="Q200:T202">
    <cfRule type="expression" dxfId="25" priority="26">
      <formula>AND(Q200&lt;&gt;"",Q200=FALSE)</formula>
    </cfRule>
  </conditionalFormatting>
  <conditionalFormatting sqref="Q203:T210">
    <cfRule type="expression" dxfId="24" priority="25">
      <formula>AND(Q203&lt;&gt;"",Q203=FALSE)</formula>
    </cfRule>
  </conditionalFormatting>
  <conditionalFormatting sqref="Q76:Q79">
    <cfRule type="expression" dxfId="23" priority="24">
      <formula>AND(Q76&lt;&gt;"",Q76=FALSE)</formula>
    </cfRule>
  </conditionalFormatting>
  <conditionalFormatting sqref="Q92">
    <cfRule type="expression" dxfId="22" priority="23">
      <formula>AND(Q92&lt;&gt;"",Q92=FALSE)</formula>
    </cfRule>
  </conditionalFormatting>
  <conditionalFormatting sqref="Q103">
    <cfRule type="expression" dxfId="21" priority="22">
      <formula>AND(Q103&lt;&gt;"",Q103=FALSE)</formula>
    </cfRule>
  </conditionalFormatting>
  <conditionalFormatting sqref="Q582:S584">
    <cfRule type="expression" dxfId="20" priority="21">
      <formula>AND(Q582&lt;&gt;"",Q582=FALSE)</formula>
    </cfRule>
  </conditionalFormatting>
  <conditionalFormatting sqref="Q579:S579">
    <cfRule type="expression" dxfId="19" priority="20">
      <formula>AND(Q579&lt;&gt;"",Q579=FALSE)</formula>
    </cfRule>
  </conditionalFormatting>
  <conditionalFormatting sqref="Q602:S604">
    <cfRule type="expression" dxfId="18" priority="19">
      <formula>AND(Q602&lt;&gt;"",Q602=FALSE)</formula>
    </cfRule>
  </conditionalFormatting>
  <conditionalFormatting sqref="Q109:Q112">
    <cfRule type="expression" dxfId="17" priority="18">
      <formula>AND(Q109&lt;&gt;"",Q109=FALSE)</formula>
    </cfRule>
  </conditionalFormatting>
  <conditionalFormatting sqref="Q108">
    <cfRule type="expression" dxfId="16" priority="17">
      <formula>AND(Q108&lt;&gt;"",Q108=FALSE)</formula>
    </cfRule>
  </conditionalFormatting>
  <conditionalFormatting sqref="Q91">
    <cfRule type="expression" dxfId="15" priority="16">
      <formula>AND(Q91&lt;&gt;"",Q91=FALSE)</formula>
    </cfRule>
  </conditionalFormatting>
  <conditionalFormatting sqref="Q114:Q117">
    <cfRule type="expression" dxfId="14" priority="15">
      <formula>AND(Q114&lt;&gt;"",Q114=FALSE)</formula>
    </cfRule>
  </conditionalFormatting>
  <conditionalFormatting sqref="Q113">
    <cfRule type="expression" dxfId="13" priority="14">
      <formula>AND(Q113&lt;&gt;"",Q113=FALSE)</formula>
    </cfRule>
  </conditionalFormatting>
  <conditionalFormatting sqref="Q119:Q122">
    <cfRule type="expression" dxfId="12" priority="13">
      <formula>AND(Q119&lt;&gt;"",Q119=FALSE)</formula>
    </cfRule>
  </conditionalFormatting>
  <conditionalFormatting sqref="Q118">
    <cfRule type="expression" dxfId="11" priority="12">
      <formula>AND(Q118&lt;&gt;"",Q118=FALSE)</formula>
    </cfRule>
  </conditionalFormatting>
  <conditionalFormatting sqref="R80:R90 R104:R107 R60:R75">
    <cfRule type="expression" dxfId="10" priority="11">
      <formula>AND(R60&lt;&gt;"",R60=FALSE)</formula>
    </cfRule>
  </conditionalFormatting>
  <conditionalFormatting sqref="R76:R79">
    <cfRule type="expression" dxfId="9" priority="10">
      <formula>AND(R76&lt;&gt;"",R76=FALSE)</formula>
    </cfRule>
  </conditionalFormatting>
  <conditionalFormatting sqref="R92">
    <cfRule type="expression" dxfId="8" priority="9">
      <formula>AND(R92&lt;&gt;"",R92=FALSE)</formula>
    </cfRule>
  </conditionalFormatting>
  <conditionalFormatting sqref="R103">
    <cfRule type="expression" dxfId="7" priority="8">
      <formula>AND(R103&lt;&gt;"",R103=FALSE)</formula>
    </cfRule>
  </conditionalFormatting>
  <conditionalFormatting sqref="R109:R112">
    <cfRule type="expression" dxfId="6" priority="7">
      <formula>AND(R109&lt;&gt;"",R109=FALSE)</formula>
    </cfRule>
  </conditionalFormatting>
  <conditionalFormatting sqref="R108">
    <cfRule type="expression" dxfId="5" priority="6">
      <formula>AND(R108&lt;&gt;"",R108=FALSE)</formula>
    </cfRule>
  </conditionalFormatting>
  <conditionalFormatting sqref="R91">
    <cfRule type="expression" dxfId="4" priority="5">
      <formula>AND(R91&lt;&gt;"",R91=FALSE)</formula>
    </cfRule>
  </conditionalFormatting>
  <conditionalFormatting sqref="R114:R117">
    <cfRule type="expression" dxfId="3" priority="4">
      <formula>AND(R114&lt;&gt;"",R114=FALSE)</formula>
    </cfRule>
  </conditionalFormatting>
  <conditionalFormatting sqref="R113">
    <cfRule type="expression" dxfId="2" priority="3">
      <formula>AND(R113&lt;&gt;"",R113=FALSE)</formula>
    </cfRule>
  </conditionalFormatting>
  <conditionalFormatting sqref="R119:R122">
    <cfRule type="expression" dxfId="1" priority="2">
      <formula>AND(R119&lt;&gt;"",R119=FALSE)</formula>
    </cfRule>
  </conditionalFormatting>
  <conditionalFormatting sqref="R118">
    <cfRule type="expression" dxfId="0" priority="1">
      <formula>AND(R118&lt;&gt;"",R118=FALSE)</formula>
    </cfRule>
  </conditionalFormatting>
  <pageMargins left="0.7" right="0.7" top="0.75" bottom="0.75" header="0.3" footer="0.3"/>
  <pageSetup paperSize="9"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ワークシート</vt:lpstr>
      </vt:variant>
      <vt:variant>
        <vt:i4>1</vt:i4>
      </vt:variant>
    </vt:vector>
  </HeadingPairs>
  <TitlesOfParts>
    <vt:vector size="1" baseType="lpstr">
      <vt:lpstr>Sheet1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阿部航大</dc:creator>
  <cp:lastModifiedBy>Koudai</cp:lastModifiedBy>
  <dcterms:created xsi:type="dcterms:W3CDTF">2018-05-15T00:36:42Z</dcterms:created>
  <dcterms:modified xsi:type="dcterms:W3CDTF">2018-05-26T11:34:53Z</dcterms:modified>
</cp:coreProperties>
</file>