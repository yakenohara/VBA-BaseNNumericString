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VBA-BaseNNumericString\"/>
    </mc:Choice>
  </mc:AlternateContent>
  <xr:revisionPtr revIDLastSave="0" documentId="10_ncr:8100000_{3EC84EAE-2A3C-4BF9-BB75-B8623732CF36}" xr6:coauthVersionLast="32" xr6:coauthVersionMax="32" xr10:uidLastSave="{00000000-0000-0000-0000-000000000000}"/>
  <bookViews>
    <workbookView xWindow="0" yWindow="279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0" i="1" l="1"/>
  <c r="Q286" i="1"/>
  <c r="I117" i="1"/>
  <c r="L244" i="1"/>
  <c r="I81" i="1"/>
  <c r="I691" i="1"/>
  <c r="I104" i="1"/>
  <c r="I669" i="1"/>
  <c r="I119" i="1"/>
  <c r="Q129" i="1"/>
  <c r="I318" i="1"/>
  <c r="J222" i="1"/>
  <c r="J227" i="1"/>
  <c r="I548" i="1"/>
  <c r="I465" i="1"/>
  <c r="I332" i="1"/>
  <c r="J116" i="1"/>
  <c r="I210" i="1"/>
  <c r="J80" i="1"/>
  <c r="J343" i="1"/>
  <c r="J107" i="1"/>
  <c r="L223" i="1"/>
  <c r="J71" i="1"/>
  <c r="Q714" i="1"/>
  <c r="J98" i="1"/>
  <c r="S573" i="1"/>
  <c r="I303" i="1"/>
  <c r="R549" i="1"/>
  <c r="R256" i="1"/>
  <c r="Q237" i="1"/>
  <c r="T219" i="1"/>
  <c r="I219" i="1"/>
  <c r="I154" i="1"/>
  <c r="K515" i="1"/>
  <c r="I153" i="1"/>
  <c r="Q689" i="1"/>
  <c r="I152" i="1"/>
  <c r="J370" i="1"/>
  <c r="I155" i="1"/>
  <c r="R110" i="1"/>
  <c r="I640" i="1"/>
  <c r="I44" i="1"/>
  <c r="I494" i="1"/>
  <c r="I98" i="1"/>
  <c r="I673" i="1"/>
  <c r="K539" i="1"/>
  <c r="I629" i="1"/>
  <c r="Q435" i="1"/>
  <c r="R107" i="1"/>
  <c r="J498" i="1"/>
  <c r="Q600" i="1"/>
  <c r="I687" i="1"/>
  <c r="K550" i="1"/>
  <c r="I194" i="1"/>
  <c r="R226" i="1"/>
  <c r="I503" i="1"/>
  <c r="Q111" i="1"/>
  <c r="J65" i="1"/>
  <c r="R182" i="1"/>
  <c r="J92" i="1"/>
  <c r="I554" i="1"/>
  <c r="K534" i="1"/>
  <c r="Q91" i="1"/>
  <c r="R105" i="1"/>
  <c r="I584" i="1"/>
  <c r="Q700" i="1"/>
  <c r="S215" i="1"/>
  <c r="R528" i="1"/>
  <c r="T235" i="1"/>
  <c r="K197" i="1"/>
  <c r="T184" i="1"/>
  <c r="Q599" i="1"/>
  <c r="J350" i="1"/>
  <c r="I166" i="1"/>
  <c r="J555" i="1"/>
  <c r="I165" i="1"/>
  <c r="S241" i="1"/>
  <c r="J479" i="1"/>
  <c r="S590" i="1"/>
  <c r="Q51" i="1"/>
  <c r="R370" i="1"/>
  <c r="Q195" i="1"/>
  <c r="R558" i="1"/>
  <c r="Q14" i="1"/>
  <c r="L222" i="1"/>
  <c r="Q98" i="1"/>
  <c r="Q480" i="1"/>
  <c r="Q717" i="1"/>
  <c r="R555" i="1"/>
  <c r="S240" i="1"/>
  <c r="S558" i="1"/>
  <c r="I539" i="1"/>
  <c r="I534" i="1"/>
  <c r="K216" i="1"/>
  <c r="K255" i="1"/>
  <c r="Q155" i="1"/>
  <c r="Q265" i="1"/>
  <c r="I29" i="1"/>
  <c r="Q90" i="1"/>
  <c r="I24" i="1"/>
  <c r="R524" i="1"/>
  <c r="I27" i="1"/>
  <c r="J509" i="1"/>
  <c r="I18" i="1"/>
  <c r="R489" i="1"/>
  <c r="R573" i="1"/>
  <c r="Q719" i="1"/>
  <c r="K253" i="1"/>
  <c r="K180" i="1"/>
  <c r="Q101" i="1"/>
  <c r="Q105" i="1"/>
  <c r="I7" i="1"/>
  <c r="I106" i="1"/>
  <c r="R189" i="1"/>
  <c r="Q215" i="1"/>
  <c r="Q565" i="1"/>
  <c r="Q126" i="1"/>
  <c r="Q36" i="1"/>
  <c r="Q536" i="1"/>
  <c r="J472" i="1"/>
  <c r="I648" i="1"/>
  <c r="T254" i="1"/>
  <c r="Q355" i="1"/>
  <c r="L189" i="1"/>
  <c r="S199" i="1"/>
  <c r="I622" i="1"/>
  <c r="S474" i="1"/>
  <c r="J85" i="1"/>
  <c r="I222" i="1"/>
  <c r="J112" i="1"/>
  <c r="J243" i="1"/>
  <c r="J76" i="1"/>
  <c r="S596" i="1"/>
  <c r="J103" i="1"/>
  <c r="R480" i="1"/>
  <c r="J67" i="1"/>
  <c r="R254" i="1"/>
  <c r="R498" i="1"/>
  <c r="J367" i="1"/>
  <c r="Q95" i="1"/>
  <c r="R374" i="1"/>
  <c r="I335" i="1"/>
  <c r="R186" i="1"/>
  <c r="I124" i="1"/>
  <c r="R513" i="1"/>
  <c r="I150" i="1"/>
  <c r="R566" i="1"/>
  <c r="I149" i="1"/>
  <c r="J349" i="1"/>
  <c r="I148" i="1"/>
  <c r="I654" i="1"/>
  <c r="I151" i="1"/>
  <c r="I40" i="1"/>
  <c r="K600" i="1"/>
  <c r="I55" i="1"/>
  <c r="J251" i="1"/>
  <c r="I675" i="1"/>
  <c r="Q21" i="1"/>
  <c r="Q30" i="1"/>
  <c r="Q222" i="1"/>
  <c r="I491" i="1"/>
  <c r="T238" i="1"/>
  <c r="Q453" i="1"/>
  <c r="I435" i="1"/>
  <c r="I326" i="1"/>
  <c r="Q720" i="1"/>
  <c r="K214" i="1"/>
  <c r="Q496" i="1"/>
  <c r="I71" i="1"/>
  <c r="S228" i="1"/>
  <c r="J93" i="1"/>
  <c r="T242" i="1"/>
  <c r="K260" i="1"/>
  <c r="K549" i="1"/>
  <c r="Q532" i="1"/>
  <c r="T248" i="1"/>
  <c r="S244" i="1"/>
  <c r="Q121" i="1"/>
  <c r="S248" i="1"/>
  <c r="Q73" i="1"/>
  <c r="I570" i="1"/>
  <c r="Q208" i="1"/>
  <c r="J183" i="1"/>
  <c r="L188" i="1"/>
  <c r="I127" i="1"/>
  <c r="I484" i="1"/>
  <c r="I162" i="1"/>
  <c r="Q667" i="1"/>
  <c r="Q188" i="1"/>
  <c r="Q520" i="1"/>
  <c r="K504" i="1"/>
  <c r="K521" i="1"/>
  <c r="R550" i="1"/>
  <c r="I609" i="1"/>
  <c r="Q37" i="1"/>
  <c r="K529" i="1"/>
  <c r="Q68" i="1"/>
  <c r="Q563" i="1"/>
  <c r="J233" i="1"/>
  <c r="K601" i="1"/>
  <c r="Q376" i="1"/>
  <c r="Q421" i="1"/>
  <c r="T187" i="1"/>
  <c r="Q537" i="1"/>
  <c r="I334" i="1"/>
  <c r="S471" i="1"/>
  <c r="J541" i="1"/>
  <c r="I234" i="1"/>
  <c r="R84" i="1"/>
  <c r="K592" i="1"/>
  <c r="I25" i="1"/>
  <c r="I436" i="1"/>
  <c r="I20" i="1"/>
  <c r="Q8" i="1"/>
  <c r="I23" i="1"/>
  <c r="Q279" i="1"/>
  <c r="J229" i="1"/>
  <c r="K527" i="1"/>
  <c r="R529" i="1"/>
  <c r="S502" i="1"/>
  <c r="T251" i="1"/>
  <c r="S495" i="1"/>
  <c r="I122" i="1"/>
  <c r="I255" i="1"/>
  <c r="I86" i="1"/>
  <c r="K212" i="1"/>
  <c r="I113" i="1"/>
  <c r="I283" i="1"/>
  <c r="I132" i="1"/>
  <c r="J221" i="1"/>
  <c r="I123" i="1"/>
  <c r="J245" i="1"/>
  <c r="I146" i="1"/>
  <c r="J181" i="1"/>
  <c r="I145" i="1"/>
  <c r="K516" i="1"/>
  <c r="I144" i="1"/>
  <c r="I53" i="1"/>
  <c r="S586" i="1"/>
  <c r="I36" i="1"/>
  <c r="I618" i="1"/>
  <c r="Q708" i="1"/>
  <c r="R476" i="1"/>
  <c r="S531" i="1"/>
  <c r="T201" i="1"/>
  <c r="I702" i="1"/>
  <c r="Q407" i="1"/>
  <c r="Q97" i="1"/>
  <c r="I597" i="1"/>
  <c r="Q308" i="1"/>
  <c r="J225" i="1"/>
  <c r="Q275" i="1"/>
  <c r="Q587" i="1"/>
  <c r="I76" i="1"/>
  <c r="J235" i="1"/>
  <c r="I67" i="1"/>
  <c r="J595" i="1"/>
  <c r="R69" i="1"/>
  <c r="Q694" i="1"/>
  <c r="S479" i="1"/>
  <c r="Q567" i="1"/>
  <c r="R378" i="1"/>
  <c r="R536" i="1"/>
  <c r="R109" i="1"/>
  <c r="Q487" i="1"/>
  <c r="L250" i="1"/>
  <c r="I659" i="1"/>
  <c r="S487" i="1"/>
  <c r="Q395" i="1"/>
  <c r="J62" i="1"/>
  <c r="Q528" i="1"/>
  <c r="I134" i="1"/>
  <c r="Q284" i="1"/>
  <c r="K605" i="1"/>
  <c r="I203" i="1"/>
  <c r="Q483" i="1"/>
  <c r="J521" i="1"/>
  <c r="J475" i="1"/>
  <c r="R90" i="1"/>
  <c r="Q329" i="1"/>
  <c r="I324" i="1"/>
  <c r="Q223" i="1"/>
  <c r="Q177" i="1"/>
  <c r="K555" i="1"/>
  <c r="K593" i="1"/>
  <c r="R72" i="1"/>
  <c r="R493" i="1"/>
  <c r="Q300" i="1"/>
  <c r="I439" i="1"/>
  <c r="R324" i="1"/>
  <c r="I672" i="1"/>
  <c r="R514" i="1"/>
  <c r="T237" i="1"/>
  <c r="R589" i="1"/>
  <c r="Q372" i="1"/>
  <c r="K478" i="1"/>
  <c r="Q699" i="1"/>
  <c r="I21" i="1"/>
  <c r="I264" i="1"/>
  <c r="I16" i="1"/>
  <c r="Q654" i="1"/>
  <c r="S600" i="1"/>
  <c r="S557" i="1"/>
  <c r="Q509" i="1"/>
  <c r="J607" i="1"/>
  <c r="L263" i="1"/>
  <c r="R352" i="1"/>
  <c r="I51" i="1"/>
  <c r="Q191" i="1"/>
  <c r="I118" i="1"/>
  <c r="S528" i="1"/>
  <c r="I82" i="1"/>
  <c r="K207" i="1"/>
  <c r="I109" i="1"/>
  <c r="Q607" i="1"/>
  <c r="I73" i="1"/>
  <c r="I235" i="1"/>
  <c r="L209" i="1"/>
  <c r="Q271" i="1"/>
  <c r="J336" i="1"/>
  <c r="J531" i="1"/>
  <c r="Q186" i="1"/>
  <c r="Q58" i="1"/>
  <c r="J117" i="1"/>
  <c r="I561" i="1"/>
  <c r="J81" i="1"/>
  <c r="Q259" i="1"/>
  <c r="J108" i="1"/>
  <c r="I555" i="1"/>
  <c r="J72" i="1"/>
  <c r="I459" i="1"/>
  <c r="J99" i="1"/>
  <c r="L231" i="1"/>
  <c r="K566" i="1"/>
  <c r="L213" i="1"/>
  <c r="R504" i="1"/>
  <c r="Q560" i="1"/>
  <c r="Q378" i="1"/>
  <c r="I338" i="1"/>
  <c r="I46" i="1"/>
  <c r="R61" i="1"/>
  <c r="L224" i="1"/>
  <c r="J487" i="1"/>
  <c r="I483" i="1"/>
  <c r="Q364" i="1"/>
  <c r="I403" i="1"/>
  <c r="R259" i="1"/>
  <c r="J256" i="1"/>
  <c r="R564" i="1"/>
  <c r="I416" i="1"/>
  <c r="J539" i="1"/>
  <c r="Q703" i="1"/>
  <c r="R95" i="1"/>
  <c r="R321" i="1"/>
  <c r="T186" i="1"/>
  <c r="L212" i="1"/>
  <c r="R331" i="1"/>
  <c r="Q673" i="1"/>
  <c r="I344" i="1"/>
  <c r="R233" i="1"/>
  <c r="I111" i="1"/>
  <c r="S181" i="1"/>
  <c r="I68" i="1"/>
  <c r="I580" i="1"/>
  <c r="R537" i="1"/>
  <c r="T196" i="1"/>
  <c r="J261" i="1"/>
  <c r="S555" i="1"/>
  <c r="J374" i="1"/>
  <c r="S224" i="1"/>
  <c r="J199" i="1"/>
  <c r="I470" i="1"/>
  <c r="I601" i="1"/>
  <c r="R227" i="1"/>
  <c r="J363" i="1"/>
  <c r="J263" i="1"/>
  <c r="J94" i="1"/>
  <c r="L204" i="1"/>
  <c r="I142" i="1"/>
  <c r="S256" i="1"/>
  <c r="S470" i="1"/>
  <c r="S578" i="1"/>
  <c r="I516" i="1"/>
  <c r="J529" i="1"/>
  <c r="L210" i="1"/>
  <c r="J580" i="1"/>
  <c r="J590" i="1"/>
  <c r="Q281" i="1"/>
  <c r="L200" i="1"/>
  <c r="I536" i="1"/>
  <c r="I632" i="1"/>
  <c r="K610" i="1"/>
  <c r="S492" i="1"/>
  <c r="I509" i="1"/>
  <c r="K246" i="1"/>
  <c r="K238" i="1"/>
  <c r="K528" i="1"/>
  <c r="Q635" i="1"/>
  <c r="R206" i="1"/>
  <c r="I599" i="1"/>
  <c r="I412" i="1"/>
  <c r="Q162" i="1"/>
  <c r="J515" i="1"/>
  <c r="L258" i="1"/>
  <c r="T180" i="1"/>
  <c r="Q216" i="1"/>
  <c r="I17" i="1"/>
  <c r="S237" i="1"/>
  <c r="Q418" i="1"/>
  <c r="I279" i="1"/>
  <c r="J571" i="1"/>
  <c r="J348" i="1"/>
  <c r="I230" i="1"/>
  <c r="J378" i="1"/>
  <c r="I41" i="1"/>
  <c r="K244" i="1"/>
  <c r="I47" i="1"/>
  <c r="R202" i="1"/>
  <c r="I114" i="1"/>
  <c r="I661" i="1"/>
  <c r="I78" i="1"/>
  <c r="I186" i="1"/>
  <c r="I105" i="1"/>
  <c r="J184" i="1"/>
  <c r="K574" i="1"/>
  <c r="R542" i="1"/>
  <c r="Q644" i="1"/>
  <c r="L247" i="1"/>
  <c r="Q430" i="1"/>
  <c r="K564" i="1"/>
  <c r="I115" i="1"/>
  <c r="I499" i="1"/>
  <c r="J113" i="1"/>
  <c r="Q172" i="1"/>
  <c r="J77" i="1"/>
  <c r="R198" i="1"/>
  <c r="J104" i="1"/>
  <c r="S185" i="1"/>
  <c r="J68" i="1"/>
  <c r="S524" i="1"/>
  <c r="Q683" i="1"/>
  <c r="K239" i="1"/>
  <c r="I346" i="1"/>
  <c r="I341" i="1"/>
  <c r="J192" i="1"/>
  <c r="Q447" i="1"/>
  <c r="I140" i="1"/>
  <c r="J513" i="1"/>
  <c r="I131" i="1"/>
  <c r="Q428" i="1"/>
  <c r="I178" i="1"/>
  <c r="Q292" i="1"/>
  <c r="I177" i="1"/>
  <c r="J216" i="1"/>
  <c r="I176" i="1"/>
  <c r="I14" i="1"/>
  <c r="Q151" i="1"/>
  <c r="I49" i="1"/>
  <c r="R512" i="1"/>
  <c r="I181" i="1"/>
  <c r="Q238" i="1"/>
  <c r="Q280" i="1"/>
  <c r="J507" i="1"/>
  <c r="S594" i="1"/>
  <c r="J180" i="1"/>
  <c r="Q220" i="1"/>
  <c r="Q401" i="1"/>
  <c r="Q294" i="1"/>
  <c r="T260" i="1"/>
  <c r="I668" i="1"/>
  <c r="J63" i="1"/>
  <c r="I306" i="1"/>
  <c r="J90" i="1"/>
  <c r="Q424" i="1"/>
  <c r="J478" i="1"/>
  <c r="Q92" i="1"/>
  <c r="R231" i="1"/>
  <c r="I469" i="1"/>
  <c r="K258" i="1"/>
  <c r="J383" i="1"/>
  <c r="R515" i="1"/>
  <c r="J364" i="1"/>
  <c r="R344" i="1"/>
  <c r="K479" i="1"/>
  <c r="S601" i="1"/>
  <c r="I388" i="1"/>
  <c r="I147" i="1"/>
  <c r="I477" i="1"/>
  <c r="K607" i="1"/>
  <c r="R603" i="1"/>
  <c r="I390" i="1"/>
  <c r="Q113" i="1"/>
  <c r="Q611" i="1"/>
  <c r="R83" i="1"/>
  <c r="S572" i="1"/>
  <c r="K545" i="1"/>
  <c r="K220" i="1"/>
  <c r="R554" i="1"/>
  <c r="L216" i="1"/>
  <c r="Q432" i="1"/>
  <c r="S188" i="1"/>
  <c r="I446" i="1"/>
  <c r="K223" i="1"/>
  <c r="Q465" i="1"/>
  <c r="I213" i="1"/>
  <c r="I389" i="1"/>
  <c r="I552" i="1"/>
  <c r="I434" i="1"/>
  <c r="I50" i="1"/>
  <c r="S589" i="1"/>
  <c r="I37" i="1"/>
  <c r="T255" i="1"/>
  <c r="I39" i="1"/>
  <c r="I522" i="1"/>
  <c r="I110" i="1"/>
  <c r="I564" i="1"/>
  <c r="I74" i="1"/>
  <c r="I266" i="1"/>
  <c r="Q282" i="1"/>
  <c r="I191" i="1"/>
  <c r="K257" i="1"/>
  <c r="S482" i="1"/>
  <c r="T202" i="1"/>
  <c r="I200" i="1"/>
  <c r="I91" i="1"/>
  <c r="Q12" i="1"/>
  <c r="I107" i="1"/>
  <c r="S571" i="1"/>
  <c r="J109" i="1"/>
  <c r="J519" i="1"/>
  <c r="J73" i="1"/>
  <c r="R243" i="1"/>
  <c r="J100" i="1"/>
  <c r="I273" i="1"/>
  <c r="K502" i="1"/>
  <c r="T230" i="1"/>
  <c r="L181" i="1"/>
  <c r="I481" i="1"/>
  <c r="I356" i="1"/>
  <c r="Q651" i="1"/>
  <c r="J82" i="1"/>
  <c r="Q94" i="1"/>
  <c r="I139" i="1"/>
  <c r="R250" i="1"/>
  <c r="I130" i="1"/>
  <c r="S187" i="1"/>
  <c r="I174" i="1"/>
  <c r="Q104" i="1"/>
  <c r="I173" i="1"/>
  <c r="I19" i="1"/>
  <c r="J384" i="1"/>
  <c r="I58" i="1"/>
  <c r="K537" i="1"/>
  <c r="J610" i="1"/>
  <c r="R567" i="1"/>
  <c r="K608" i="1"/>
  <c r="R112" i="1"/>
  <c r="Q540" i="1"/>
  <c r="I532" i="1"/>
  <c r="R364" i="1"/>
  <c r="R96" i="1"/>
  <c r="Q217" i="1"/>
  <c r="K251" i="1"/>
  <c r="J207" i="1"/>
  <c r="Q369" i="1"/>
  <c r="I96" i="1"/>
  <c r="Q505" i="1"/>
  <c r="I103" i="1"/>
  <c r="L260" i="1"/>
  <c r="J362" i="1"/>
  <c r="R117" i="1"/>
  <c r="K201" i="1"/>
  <c r="I56" i="1"/>
  <c r="J556" i="1"/>
  <c r="R604" i="1"/>
  <c r="I712" i="1"/>
  <c r="L261" i="1"/>
  <c r="I556" i="1"/>
  <c r="K582" i="1"/>
  <c r="J228" i="1"/>
  <c r="I546" i="1"/>
  <c r="T189" i="1"/>
  <c r="R507" i="1"/>
  <c r="I586" i="1"/>
  <c r="S499" i="1"/>
  <c r="Q433" i="1"/>
  <c r="Q307" i="1"/>
  <c r="T223" i="1"/>
  <c r="K526" i="1"/>
  <c r="I506" i="1"/>
  <c r="Q245" i="1"/>
  <c r="I179" i="1"/>
  <c r="Q254" i="1"/>
  <c r="I143" i="1"/>
  <c r="Q276" i="1"/>
  <c r="Q652" i="1"/>
  <c r="R350" i="1"/>
  <c r="Q331" i="1"/>
  <c r="L191" i="1"/>
  <c r="J248" i="1"/>
  <c r="J542" i="1"/>
  <c r="R252" i="1"/>
  <c r="Q608" i="1"/>
  <c r="Q519" i="1"/>
  <c r="Q211" i="1"/>
  <c r="K227" i="1"/>
  <c r="I354" i="1"/>
  <c r="R496" i="1"/>
  <c r="Q442" i="1"/>
  <c r="R192" i="1"/>
  <c r="R359" i="1"/>
  <c r="I720" i="1"/>
  <c r="J476" i="1"/>
  <c r="I10" i="1"/>
  <c r="R325" i="1"/>
  <c r="I30" i="1"/>
  <c r="I567" i="1"/>
  <c r="I42" i="1"/>
  <c r="Q326" i="1"/>
  <c r="I52" i="1"/>
  <c r="Q661" i="1"/>
  <c r="I57" i="1"/>
  <c r="Q420" i="1"/>
  <c r="J550" i="1"/>
  <c r="I377" i="1"/>
  <c r="I295" i="1"/>
  <c r="R88" i="1"/>
  <c r="R334" i="1"/>
  <c r="I250" i="1"/>
  <c r="I84" i="1"/>
  <c r="I298" i="1"/>
  <c r="I83" i="1"/>
  <c r="S501" i="1"/>
  <c r="I95" i="1"/>
  <c r="I347" i="1"/>
  <c r="J105" i="1"/>
  <c r="I340" i="1"/>
  <c r="J69" i="1"/>
  <c r="K604" i="1"/>
  <c r="Q120" i="1"/>
  <c r="R557" i="1"/>
  <c r="Q173" i="1"/>
  <c r="Q315" i="1"/>
  <c r="R73" i="1"/>
  <c r="J602" i="1"/>
  <c r="J114" i="1"/>
  <c r="T213" i="1"/>
  <c r="J78" i="1"/>
  <c r="K191" i="1"/>
  <c r="I138" i="1"/>
  <c r="J563" i="1"/>
  <c r="I129" i="1"/>
  <c r="Q207" i="1"/>
  <c r="I170" i="1"/>
  <c r="I12" i="1"/>
  <c r="J208" i="1"/>
  <c r="I15" i="1"/>
  <c r="K541" i="1"/>
  <c r="I125" i="1"/>
  <c r="J516" i="1"/>
  <c r="I158" i="1"/>
  <c r="S551" i="1"/>
  <c r="Q403" i="1"/>
  <c r="Q406" i="1"/>
  <c r="I641" i="1"/>
  <c r="I541" i="1"/>
  <c r="R510" i="1"/>
  <c r="R475" i="1"/>
  <c r="I456" i="1"/>
  <c r="R355" i="1"/>
  <c r="I69" i="1"/>
  <c r="I256" i="1"/>
  <c r="I92" i="1"/>
  <c r="S540" i="1"/>
  <c r="L236" i="1"/>
  <c r="K256" i="1"/>
  <c r="K597" i="1"/>
  <c r="I551" i="1"/>
  <c r="S504" i="1"/>
  <c r="S516" i="1"/>
  <c r="Q193" i="1"/>
  <c r="R219" i="1"/>
  <c r="S211" i="1"/>
  <c r="I375" i="1"/>
  <c r="R222" i="1"/>
  <c r="K591" i="1"/>
  <c r="J95" i="1"/>
  <c r="S195" i="1"/>
  <c r="J122" i="1"/>
  <c r="I664" i="1"/>
  <c r="R371" i="1"/>
  <c r="K470" i="1"/>
  <c r="K213" i="1"/>
  <c r="Q518" i="1"/>
  <c r="S595" i="1"/>
  <c r="I530" i="1"/>
  <c r="Q339" i="1"/>
  <c r="J552" i="1"/>
  <c r="I455" i="1"/>
  <c r="R258" i="1"/>
  <c r="R347" i="1"/>
  <c r="I376" i="1"/>
  <c r="I693" i="1"/>
  <c r="Q674" i="1"/>
  <c r="R474" i="1"/>
  <c r="K569" i="1"/>
  <c r="R533" i="1"/>
  <c r="I373" i="1"/>
  <c r="I184" i="1"/>
  <c r="R108" i="1"/>
  <c r="R193" i="1"/>
  <c r="I374" i="1"/>
  <c r="R587" i="1"/>
  <c r="Q646" i="1"/>
  <c r="Q724" i="1"/>
  <c r="I32" i="1"/>
  <c r="Q656" i="1"/>
  <c r="I6" i="1"/>
  <c r="I247" i="1"/>
  <c r="I26" i="1"/>
  <c r="R471" i="1"/>
  <c r="I38" i="1"/>
  <c r="Q79" i="1"/>
  <c r="I48" i="1"/>
  <c r="S545" i="1"/>
  <c r="J548" i="1"/>
  <c r="Q221" i="1"/>
  <c r="R87" i="1"/>
  <c r="K557" i="1"/>
  <c r="K523" i="1"/>
  <c r="Q597" i="1"/>
  <c r="I89" i="1"/>
  <c r="J330" i="1"/>
  <c r="I116" i="1"/>
  <c r="R68" i="1"/>
  <c r="I72" i="1"/>
  <c r="I391" i="1"/>
  <c r="I63" i="1"/>
  <c r="Q366" i="1"/>
  <c r="I79" i="1"/>
  <c r="I441" i="1"/>
  <c r="I713" i="1"/>
  <c r="L251" i="1"/>
  <c r="Q330" i="1"/>
  <c r="I592" i="1"/>
  <c r="Q327" i="1"/>
  <c r="Q348" i="1"/>
  <c r="J83" i="1"/>
  <c r="Q250" i="1"/>
  <c r="J110" i="1"/>
  <c r="Q622" i="1"/>
  <c r="J74" i="1"/>
  <c r="R596" i="1"/>
  <c r="I137" i="1"/>
  <c r="R377" i="1"/>
  <c r="I128" i="1"/>
  <c r="I13" i="1"/>
  <c r="Q386" i="1"/>
  <c r="I8" i="1"/>
  <c r="I413" i="1"/>
  <c r="J120" i="1"/>
  <c r="Q375" i="1"/>
  <c r="J88" i="1"/>
  <c r="I167" i="1"/>
  <c r="I368" i="1"/>
  <c r="I248" i="1"/>
  <c r="R380" i="1"/>
  <c r="I304" i="1"/>
  <c r="Q252" i="1"/>
  <c r="R369" i="1"/>
  <c r="Q74" i="1"/>
  <c r="Q492" i="1"/>
  <c r="I101" i="1"/>
  <c r="L262" i="1"/>
  <c r="I65" i="1"/>
  <c r="J561" i="1"/>
  <c r="R381" i="1"/>
  <c r="R229" i="1"/>
  <c r="J321" i="1"/>
  <c r="I613" i="1"/>
  <c r="R97" i="1"/>
  <c r="Q119" i="1"/>
  <c r="L201" i="1"/>
  <c r="J489" i="1"/>
  <c r="K589" i="1"/>
  <c r="Q255" i="1"/>
  <c r="Q67" i="1"/>
  <c r="K480" i="1"/>
  <c r="J64" i="1"/>
  <c r="Q251" i="1"/>
  <c r="J91" i="1"/>
  <c r="J186" i="1"/>
  <c r="I365" i="1"/>
  <c r="R365" i="1"/>
  <c r="Q345" i="1"/>
  <c r="K474" i="1"/>
  <c r="L252" i="1"/>
  <c r="Q365" i="1"/>
  <c r="K500" i="1"/>
  <c r="S552" i="1"/>
  <c r="R548" i="1"/>
  <c r="I566" i="1"/>
  <c r="S553" i="1"/>
  <c r="L228" i="1"/>
  <c r="I172" i="1"/>
  <c r="K535" i="1"/>
  <c r="I175" i="1"/>
  <c r="R71" i="1"/>
  <c r="K188" i="1"/>
  <c r="Q405" i="1"/>
  <c r="J242" i="1"/>
  <c r="I35" i="1"/>
  <c r="Q682" i="1"/>
  <c r="L253" i="1"/>
  <c r="L207" i="1"/>
  <c r="L187" i="1"/>
  <c r="I315" i="1"/>
  <c r="S515" i="1"/>
  <c r="I258" i="1"/>
  <c r="K225" i="1"/>
  <c r="Q154" i="1"/>
  <c r="Q197" i="1"/>
  <c r="Q242" i="1"/>
  <c r="I33" i="1"/>
  <c r="I34" i="1"/>
  <c r="I121" i="1"/>
  <c r="I108" i="1"/>
  <c r="J84" i="1"/>
  <c r="J66" i="1"/>
  <c r="I160" i="1"/>
  <c r="Q712" i="1"/>
  <c r="K501" i="1"/>
  <c r="I227" i="1"/>
  <c r="R503" i="1"/>
  <c r="Q630" i="1"/>
  <c r="I476" i="1"/>
  <c r="J605" i="1"/>
  <c r="I595" i="1"/>
  <c r="I209" i="1"/>
  <c r="I257" i="1"/>
  <c r="R556" i="1"/>
  <c r="I721" i="1"/>
  <c r="R316" i="1"/>
  <c r="Q617" i="1"/>
  <c r="I226" i="1"/>
  <c r="Q132" i="1"/>
  <c r="S574" i="1"/>
  <c r="I603" i="1"/>
  <c r="I87" i="1"/>
  <c r="Q556" i="1"/>
  <c r="Q182" i="1"/>
  <c r="L233" i="1"/>
  <c r="J238" i="1"/>
  <c r="L199" i="1"/>
  <c r="R60" i="1"/>
  <c r="Q324" i="1"/>
  <c r="T253" i="1"/>
  <c r="Q665" i="1"/>
  <c r="I681" i="1"/>
  <c r="K581" i="1"/>
  <c r="S575" i="1"/>
  <c r="R332" i="1"/>
  <c r="J530" i="1"/>
  <c r="Q368" i="1"/>
  <c r="I497" i="1"/>
  <c r="I93" i="1"/>
  <c r="I585" i="1"/>
  <c r="K209" i="1"/>
  <c r="J536" i="1"/>
  <c r="J375" i="1"/>
  <c r="R81" i="1"/>
  <c r="R208" i="1"/>
  <c r="Q514" i="1"/>
  <c r="J488" i="1"/>
  <c r="I276" i="1"/>
  <c r="S506" i="1"/>
  <c r="S591" i="1"/>
  <c r="Q363" i="1"/>
  <c r="S242" i="1"/>
  <c r="I157" i="1"/>
  <c r="I218" i="1"/>
  <c r="I409" i="1"/>
  <c r="I500" i="1"/>
  <c r="Q32" i="1"/>
  <c r="K473" i="1"/>
  <c r="Q388" i="1"/>
  <c r="Q553" i="1"/>
  <c r="T205" i="1"/>
  <c r="Q115" i="1"/>
  <c r="J604" i="1"/>
  <c r="Q417" i="1"/>
  <c r="S505" i="1"/>
  <c r="S201" i="1"/>
  <c r="S218" i="1"/>
  <c r="J341" i="1"/>
  <c r="R562" i="1"/>
  <c r="J97" i="1"/>
  <c r="J337" i="1"/>
  <c r="Q76" i="1"/>
  <c r="S604" i="1"/>
  <c r="Q602" i="1"/>
  <c r="J471" i="1"/>
  <c r="Q709" i="1"/>
  <c r="R595" i="1"/>
  <c r="I372" i="1"/>
  <c r="J327" i="1"/>
  <c r="Q108" i="1"/>
  <c r="Q352" i="1"/>
  <c r="J533" i="1"/>
  <c r="I482" i="1"/>
  <c r="S186" i="1"/>
  <c r="J609" i="1"/>
  <c r="Q499" i="1"/>
  <c r="R600" i="1"/>
  <c r="S576" i="1"/>
  <c r="Q621" i="1"/>
  <c r="I381" i="1"/>
  <c r="Q387" i="1"/>
  <c r="J345" i="1"/>
  <c r="Q86" i="1"/>
  <c r="I59" i="1"/>
  <c r="I265" i="1"/>
  <c r="J121" i="1"/>
  <c r="Q20" i="1"/>
  <c r="T190" i="1"/>
  <c r="I414" i="1"/>
  <c r="J241" i="1"/>
  <c r="L183" i="1"/>
  <c r="R337" i="1"/>
  <c r="Q399" i="1"/>
  <c r="Q501" i="1"/>
  <c r="R191" i="1"/>
  <c r="Q678" i="1"/>
  <c r="J252" i="1"/>
  <c r="Q469" i="1"/>
  <c r="Q511" i="1"/>
  <c r="R101" i="1"/>
  <c r="R78" i="1"/>
  <c r="K488" i="1"/>
  <c r="R195" i="1"/>
  <c r="J347" i="1"/>
  <c r="I692" i="1"/>
  <c r="K506" i="1"/>
  <c r="Q552" i="1"/>
  <c r="Q554" i="1"/>
  <c r="T207" i="1"/>
  <c r="Q359" i="1"/>
  <c r="K586" i="1"/>
  <c r="I70" i="1"/>
  <c r="K509" i="1"/>
  <c r="J96" i="1"/>
  <c r="R384" i="1"/>
  <c r="I169" i="1"/>
  <c r="K578" i="1"/>
  <c r="Q161" i="1"/>
  <c r="J512" i="1"/>
  <c r="Q612" i="1"/>
  <c r="J246" i="1"/>
  <c r="Q189" i="1"/>
  <c r="J118" i="1"/>
  <c r="I543" i="1"/>
  <c r="L237" i="1"/>
  <c r="Q128" i="1"/>
  <c r="I488" i="1"/>
  <c r="L208" i="1"/>
  <c r="Q287" i="1"/>
  <c r="Q561" i="1"/>
  <c r="I665" i="1"/>
  <c r="I606" i="1"/>
  <c r="I550" i="1"/>
  <c r="I711" i="1"/>
  <c r="Q476" i="1"/>
  <c r="R526" i="1"/>
  <c r="Q54" i="1"/>
  <c r="Q572" i="1"/>
  <c r="S533" i="1"/>
  <c r="I525" i="1"/>
  <c r="S579" i="1"/>
  <c r="S549" i="1"/>
  <c r="Q233" i="1"/>
  <c r="I185" i="1"/>
  <c r="J115" i="1"/>
  <c r="I136" i="1"/>
  <c r="J493" i="1"/>
  <c r="Q491" i="1"/>
  <c r="R217" i="1"/>
  <c r="R499" i="1"/>
  <c r="Q534" i="1"/>
  <c r="J372" i="1"/>
  <c r="R314" i="1"/>
  <c r="J203" i="1"/>
  <c r="R559" i="1"/>
  <c r="S577" i="1"/>
  <c r="J214" i="1"/>
  <c r="K544" i="1"/>
  <c r="S247" i="1"/>
  <c r="S510" i="1"/>
  <c r="L241" i="1"/>
  <c r="I102" i="1"/>
  <c r="K230" i="1"/>
  <c r="R237" i="1"/>
  <c r="S481" i="1"/>
  <c r="I252" i="1"/>
  <c r="I380" i="1"/>
  <c r="I196" i="1"/>
  <c r="Q716" i="1"/>
  <c r="Q256" i="1"/>
  <c r="Q677" i="1"/>
  <c r="K587" i="1"/>
  <c r="R523" i="1"/>
  <c r="L243" i="1"/>
  <c r="Q349" i="1"/>
  <c r="K503" i="1"/>
  <c r="Q28" i="1"/>
  <c r="Q35" i="1"/>
  <c r="I249" i="1"/>
  <c r="L238" i="1"/>
  <c r="I678" i="1"/>
  <c r="K483" i="1"/>
  <c r="T256" i="1"/>
  <c r="S582" i="1"/>
  <c r="K184" i="1"/>
  <c r="Q148" i="1"/>
  <c r="I267" i="1"/>
  <c r="I43" i="1"/>
  <c r="R492" i="1"/>
  <c r="S262" i="1"/>
  <c r="I397" i="1"/>
  <c r="R62" i="1"/>
  <c r="Q152" i="1"/>
  <c r="I126" i="1"/>
  <c r="R534" i="1"/>
  <c r="J254" i="1"/>
  <c r="Q213" i="1"/>
  <c r="Q721" i="1"/>
  <c r="Q181" i="1"/>
  <c r="R114" i="1"/>
  <c r="J255" i="1"/>
  <c r="K520" i="1"/>
  <c r="Q150" i="1"/>
  <c r="I310" i="1"/>
  <c r="Q648" i="1"/>
  <c r="R338" i="1"/>
  <c r="I444" i="1"/>
  <c r="K252" i="1"/>
  <c r="K199" i="1"/>
  <c r="Q669" i="1"/>
  <c r="S527" i="1"/>
  <c r="J361" i="1"/>
  <c r="I262" i="1"/>
  <c r="T200" i="1"/>
  <c r="Q157" i="1"/>
  <c r="I658" i="1"/>
  <c r="Q257" i="1"/>
  <c r="K561" i="1"/>
  <c r="I387" i="1"/>
  <c r="I296" i="1"/>
  <c r="T224" i="1"/>
  <c r="I701" i="1"/>
  <c r="I28" i="1"/>
  <c r="Q604" i="1"/>
  <c r="I85" i="1"/>
  <c r="I297" i="1"/>
  <c r="J111" i="1"/>
  <c r="J485" i="1"/>
  <c r="I163" i="1"/>
  <c r="Q167" i="1"/>
  <c r="R544" i="1"/>
  <c r="Q55" i="1"/>
  <c r="I529" i="1"/>
  <c r="R360" i="1"/>
  <c r="Q19" i="1"/>
  <c r="I100" i="1"/>
  <c r="I646" i="1"/>
  <c r="Q82" i="1"/>
  <c r="Q382" i="1"/>
  <c r="R91" i="1"/>
  <c r="J495" i="1"/>
  <c r="Q205" i="1"/>
  <c r="Q81" i="1"/>
  <c r="R575" i="1"/>
  <c r="R594" i="1"/>
  <c r="Q377" i="1"/>
  <c r="I120" i="1"/>
  <c r="J101" i="1"/>
  <c r="R477" i="1"/>
  <c r="Q643" i="1"/>
  <c r="I695" i="1"/>
  <c r="I615" i="1"/>
  <c r="Q4" i="1"/>
  <c r="Q374" i="1"/>
  <c r="Q475" i="1"/>
  <c r="K471" i="1"/>
  <c r="R505" i="1"/>
  <c r="I704" i="1"/>
  <c r="Q332" i="1"/>
  <c r="Q46" i="1"/>
  <c r="Q33" i="1"/>
  <c r="J578" i="1"/>
  <c r="K204" i="1"/>
  <c r="R351" i="1"/>
  <c r="Q710" i="1"/>
  <c r="S580" i="1"/>
  <c r="I355" i="1"/>
  <c r="S253" i="1"/>
  <c r="J197" i="1"/>
  <c r="J565" i="1"/>
  <c r="J484" i="1"/>
  <c r="L186" i="1"/>
  <c r="S542" i="1"/>
  <c r="I535" i="1"/>
  <c r="I311" i="1"/>
  <c r="R592" i="1"/>
  <c r="I289" i="1"/>
  <c r="R527" i="1"/>
  <c r="I156" i="1"/>
  <c r="K540" i="1"/>
  <c r="R478" i="1"/>
  <c r="I314" i="1"/>
  <c r="Q641" i="1"/>
  <c r="I574" i="1"/>
  <c r="Q500" i="1"/>
  <c r="Q668" i="1"/>
  <c r="I683" i="1"/>
  <c r="Q558" i="1"/>
  <c r="S541" i="1"/>
  <c r="I361" i="1"/>
  <c r="K187" i="1"/>
  <c r="I94" i="1"/>
  <c r="I545" i="1"/>
  <c r="J89" i="1"/>
  <c r="Q539" i="1"/>
  <c r="J61" i="1"/>
  <c r="Q180" i="1"/>
  <c r="K190" i="1"/>
  <c r="Q253" i="1"/>
  <c r="I531" i="1"/>
  <c r="R70" i="1"/>
  <c r="S489" i="1"/>
  <c r="Q426" i="1"/>
  <c r="S473" i="1"/>
  <c r="S261" i="1"/>
  <c r="R327" i="1"/>
  <c r="R190" i="1"/>
  <c r="J535" i="1"/>
  <c r="T218" i="1"/>
  <c r="I190" i="1"/>
  <c r="K562" i="1"/>
  <c r="S233" i="1"/>
  <c r="J201" i="1"/>
  <c r="S229" i="1"/>
  <c r="J594" i="1"/>
  <c r="Q116" i="1"/>
  <c r="R570" i="1"/>
  <c r="J194" i="1"/>
  <c r="K491" i="1"/>
  <c r="R508" i="1"/>
  <c r="I339" i="1"/>
  <c r="Q486" i="1"/>
  <c r="S200" i="1"/>
  <c r="K606" i="1"/>
  <c r="I507" i="1"/>
  <c r="I212" i="1"/>
  <c r="K602" i="1"/>
  <c r="Q133" i="1"/>
  <c r="S486" i="1"/>
  <c r="R490" i="1"/>
  <c r="J510" i="1"/>
  <c r="K232" i="1"/>
  <c r="K194" i="1"/>
  <c r="Q566" i="1"/>
  <c r="Q263" i="1"/>
  <c r="Q56" i="1"/>
  <c r="R121" i="1"/>
  <c r="Q427" i="1"/>
  <c r="R329" i="1"/>
  <c r="I215" i="1"/>
  <c r="J240" i="1"/>
  <c r="K476" i="1"/>
  <c r="J608" i="1"/>
  <c r="J331" i="1"/>
  <c r="Q134" i="1"/>
  <c r="Q112" i="1"/>
  <c r="I437" i="1"/>
  <c r="I559" i="1"/>
  <c r="J317" i="1"/>
  <c r="J526" i="1"/>
  <c r="R76" i="1"/>
  <c r="R366" i="1"/>
  <c r="S518" i="1"/>
  <c r="J260" i="1"/>
  <c r="Q454" i="1"/>
  <c r="S217" i="1"/>
  <c r="I97" i="1"/>
  <c r="J189" i="1"/>
  <c r="J60" i="1"/>
  <c r="I370" i="1"/>
  <c r="I168" i="1"/>
  <c r="Q414" i="1"/>
  <c r="I633" i="1"/>
  <c r="I229" i="1"/>
  <c r="R93" i="1"/>
  <c r="K498" i="1"/>
  <c r="I88" i="1"/>
  <c r="I419" i="1"/>
  <c r="I464" i="1"/>
  <c r="Q272" i="1"/>
  <c r="K195" i="1"/>
  <c r="Q637" i="1"/>
  <c r="I400" i="1"/>
  <c r="I378" i="1"/>
  <c r="K481" i="1"/>
  <c r="I188" i="1"/>
  <c r="R383" i="1"/>
  <c r="K495" i="1"/>
  <c r="R80" i="1"/>
  <c r="I246" i="1"/>
  <c r="Q679" i="1"/>
  <c r="J501" i="1"/>
  <c r="S239" i="1"/>
  <c r="R362" i="1"/>
  <c r="I382" i="1"/>
  <c r="Q22" i="1"/>
  <c r="Q293" i="1"/>
  <c r="I207" i="1"/>
  <c r="Q541" i="1"/>
  <c r="J79" i="1"/>
  <c r="Q62" i="1"/>
  <c r="J373" i="1"/>
  <c r="I216" i="1"/>
  <c r="T193" i="1"/>
  <c r="Q47" i="1"/>
  <c r="K263" i="1"/>
  <c r="Q45" i="1"/>
  <c r="S251" i="1"/>
  <c r="K206" i="1"/>
  <c r="R382" i="1"/>
  <c r="I271" i="1"/>
  <c r="Q198" i="1"/>
  <c r="Q466" i="1"/>
  <c r="R204" i="1"/>
  <c r="R584" i="1"/>
  <c r="J380" i="1"/>
  <c r="I66" i="1"/>
  <c r="Q305" i="1"/>
  <c r="I161" i="1"/>
  <c r="I211" i="1"/>
  <c r="S232" i="1"/>
  <c r="R223" i="1"/>
  <c r="R602" i="1"/>
  <c r="I650" i="1"/>
  <c r="R535" i="1"/>
  <c r="I417" i="1"/>
  <c r="J244" i="1"/>
  <c r="Q199" i="1"/>
  <c r="R520" i="1"/>
  <c r="R588" i="1"/>
  <c r="Q581" i="1"/>
  <c r="K517" i="1"/>
  <c r="I398" i="1"/>
  <c r="Q140" i="1"/>
  <c r="T217" i="1"/>
  <c r="I312" i="1"/>
  <c r="Q26" i="1"/>
  <c r="Q666" i="1"/>
  <c r="Q437" i="1"/>
  <c r="R375" i="1"/>
  <c r="I331" i="1"/>
  <c r="J492" i="1"/>
  <c r="J190" i="1"/>
  <c r="I205" i="1"/>
  <c r="I268" i="1"/>
  <c r="J353" i="1"/>
  <c r="Q212" i="1"/>
  <c r="S608" i="1"/>
  <c r="J188" i="1"/>
  <c r="S563" i="1"/>
  <c r="J200" i="1"/>
  <c r="Q18" i="1"/>
  <c r="I719" i="1"/>
  <c r="K599" i="1"/>
  <c r="R342" i="1"/>
  <c r="Q670" i="1"/>
  <c r="Q299" i="1"/>
  <c r="Q391" i="1"/>
  <c r="R473" i="1"/>
  <c r="J205" i="1"/>
  <c r="I649" i="1"/>
  <c r="R546" i="1"/>
  <c r="I624" i="1"/>
  <c r="Q705" i="1"/>
  <c r="I677" i="1"/>
  <c r="Q136" i="1"/>
  <c r="S257" i="1"/>
  <c r="I371" i="1"/>
  <c r="R532" i="1"/>
  <c r="Q564" i="1"/>
  <c r="K570" i="1"/>
  <c r="I496" i="1"/>
  <c r="I260" i="1"/>
  <c r="J257" i="1"/>
  <c r="I31" i="1"/>
  <c r="Q595" i="1"/>
  <c r="I112" i="1"/>
  <c r="R228" i="1"/>
  <c r="J75" i="1"/>
  <c r="L242" i="1"/>
  <c r="I223" i="1"/>
  <c r="S210" i="1"/>
  <c r="Q158" i="1"/>
  <c r="J258" i="1"/>
  <c r="S491" i="1"/>
  <c r="S207" i="1"/>
  <c r="R75" i="1"/>
  <c r="Q672" i="1"/>
  <c r="I220" i="1"/>
  <c r="Q107" i="1"/>
  <c r="I274" i="1"/>
  <c r="Q77" i="1"/>
  <c r="Q6" i="1"/>
  <c r="J547" i="1"/>
  <c r="Q264" i="1"/>
  <c r="Q130" i="1"/>
  <c r="K595" i="1"/>
  <c r="Q168" i="1"/>
  <c r="I80" i="1"/>
  <c r="S597" i="1"/>
  <c r="S603" i="1"/>
  <c r="Q577" i="1"/>
  <c r="R341" i="1"/>
  <c r="L226" i="1"/>
  <c r="I571" i="1"/>
  <c r="I512" i="1"/>
  <c r="J504" i="1"/>
  <c r="T204" i="1"/>
  <c r="R92" i="1"/>
  <c r="S496" i="1"/>
  <c r="L220" i="1"/>
  <c r="J500" i="1"/>
  <c r="Q695" i="1"/>
  <c r="L198" i="1"/>
  <c r="R599" i="1"/>
  <c r="I9" i="1"/>
  <c r="J357" i="1"/>
  <c r="J119" i="1"/>
  <c r="K219" i="1"/>
  <c r="I164" i="1"/>
  <c r="T228" i="1"/>
  <c r="J592" i="1"/>
  <c r="I214" i="1"/>
  <c r="S249" i="1"/>
  <c r="Q591" i="1"/>
  <c r="R99" i="1"/>
  <c r="I617" i="1"/>
  <c r="R318" i="1"/>
  <c r="S243" i="1"/>
  <c r="I221" i="1"/>
  <c r="I159" i="1"/>
  <c r="Q623" i="1"/>
  <c r="I294" i="1"/>
  <c r="Q361" i="1"/>
  <c r="Q527" i="1"/>
  <c r="I430" i="1"/>
  <c r="S194" i="1"/>
  <c r="I300" i="1"/>
  <c r="I429" i="1"/>
  <c r="T263" i="1"/>
  <c r="R187" i="1"/>
  <c r="K588" i="1"/>
  <c r="S477" i="1"/>
  <c r="Q156" i="1"/>
  <c r="I395" i="1"/>
  <c r="K558" i="1"/>
  <c r="Q664" i="1"/>
  <c r="R241" i="1"/>
  <c r="Q457" i="1"/>
  <c r="I587" i="1"/>
  <c r="I309" i="1"/>
  <c r="I367" i="1"/>
  <c r="Q542" i="1"/>
  <c r="J354" i="1"/>
  <c r="Q379" i="1"/>
  <c r="R598" i="1"/>
  <c r="Q383" i="1"/>
  <c r="Q398" i="1"/>
  <c r="R255" i="1"/>
  <c r="Q471" i="1"/>
  <c r="J598" i="1"/>
  <c r="I581" i="1"/>
  <c r="I670" i="1"/>
  <c r="R354" i="1"/>
  <c r="I288" i="1"/>
  <c r="Q370" i="1"/>
  <c r="R221" i="1"/>
  <c r="J316" i="1"/>
  <c r="Q210" i="1"/>
  <c r="K235" i="1"/>
  <c r="Q544" i="1"/>
  <c r="Q568" i="1"/>
  <c r="J320" i="1"/>
  <c r="I638" i="1"/>
  <c r="I270" i="1"/>
  <c r="Q606" i="1"/>
  <c r="S562" i="1"/>
  <c r="S219" i="1"/>
  <c r="I686" i="1"/>
  <c r="K247" i="1"/>
  <c r="I626" i="1"/>
  <c r="J588" i="1"/>
  <c r="K249" i="1"/>
  <c r="R242" i="1"/>
  <c r="I281" i="1"/>
  <c r="R530" i="1"/>
  <c r="S475" i="1"/>
  <c r="Q232" i="1"/>
  <c r="Q225" i="1"/>
  <c r="I698" i="1"/>
  <c r="I614" i="1"/>
  <c r="Q42" i="1"/>
  <c r="R576" i="1"/>
  <c r="Q249" i="1"/>
  <c r="S252" i="1"/>
  <c r="R257" i="1"/>
  <c r="I5" i="1"/>
  <c r="I193" i="1"/>
  <c r="L249" i="1"/>
  <c r="Q201" i="1"/>
  <c r="Q244" i="1"/>
  <c r="I679" i="1"/>
  <c r="Q584" i="1"/>
  <c r="J322" i="1"/>
  <c r="Q357" i="1"/>
  <c r="I627" i="1"/>
  <c r="S539" i="1"/>
  <c r="I11" i="1"/>
  <c r="J223" i="1"/>
  <c r="Q16" i="1"/>
  <c r="Q680" i="1"/>
  <c r="L230" i="1"/>
  <c r="Q218" i="1"/>
  <c r="Q228" i="1"/>
  <c r="K493" i="1"/>
  <c r="Q456" i="1"/>
  <c r="Q598" i="1"/>
  <c r="K513" i="1"/>
  <c r="I61" i="1"/>
  <c r="I620" i="1"/>
  <c r="J87" i="1"/>
  <c r="Q43" i="1"/>
  <c r="I171" i="1"/>
  <c r="Q87" i="1"/>
  <c r="R66" i="1"/>
  <c r="I594" i="1"/>
  <c r="Q347" i="1"/>
  <c r="T194" i="1"/>
  <c r="Q328" i="1"/>
  <c r="J584" i="1"/>
  <c r="R340" i="1"/>
  <c r="J106" i="1"/>
  <c r="Q234" i="1"/>
  <c r="R356" i="1"/>
  <c r="R472" i="1"/>
  <c r="J234" i="1"/>
  <c r="J574" i="1"/>
  <c r="S559" i="1"/>
  <c r="Q512" i="1"/>
  <c r="I350" i="1"/>
  <c r="Q632" i="1"/>
  <c r="Q481" i="1"/>
  <c r="R333" i="1"/>
  <c r="R216" i="1"/>
  <c r="Q718" i="1"/>
  <c r="J340" i="1"/>
  <c r="S208" i="1"/>
  <c r="S476" i="1"/>
  <c r="Q29" i="1"/>
  <c r="I498" i="1"/>
  <c r="K560" i="1"/>
  <c r="I549" i="1"/>
  <c r="Q557" i="1"/>
  <c r="K563" i="1"/>
  <c r="Q504" i="1"/>
  <c r="S503" i="1"/>
  <c r="J325" i="1"/>
  <c r="I486" i="1"/>
  <c r="I244" i="1"/>
  <c r="R506" i="1"/>
  <c r="J572" i="1"/>
  <c r="R220" i="1"/>
  <c r="K543" i="1"/>
  <c r="Q311" i="1"/>
  <c r="J559" i="1"/>
  <c r="Q647" i="1"/>
  <c r="K492" i="1"/>
  <c r="S547" i="1"/>
  <c r="Q338" i="1"/>
  <c r="I562" i="1"/>
  <c r="Q586" i="1"/>
  <c r="Q289" i="1"/>
  <c r="Q681" i="1"/>
  <c r="Q381" i="1"/>
  <c r="Q571" i="1"/>
  <c r="K551" i="1"/>
  <c r="Q340" i="1"/>
  <c r="Q153" i="1"/>
  <c r="I239" i="1"/>
  <c r="I433" i="1"/>
  <c r="Q106" i="1"/>
  <c r="K472" i="1"/>
  <c r="I206" i="1"/>
  <c r="Q174" i="1"/>
  <c r="S497" i="1"/>
  <c r="R200" i="1"/>
  <c r="I415" i="1"/>
  <c r="I425" i="1"/>
  <c r="J569" i="1"/>
  <c r="Q166" i="1"/>
  <c r="Q686" i="1"/>
  <c r="S220" i="1"/>
  <c r="Q135" i="1"/>
  <c r="K511" i="1"/>
  <c r="Q706" i="1"/>
  <c r="I526" i="1"/>
  <c r="I349" i="1"/>
  <c r="R94" i="1"/>
  <c r="T239" i="1"/>
  <c r="J596" i="1"/>
  <c r="Q202" i="1"/>
  <c r="I505" i="1"/>
  <c r="I537" i="1"/>
  <c r="J499" i="1"/>
  <c r="T226" i="1"/>
  <c r="K211" i="1"/>
  <c r="Q585" i="1"/>
  <c r="L217" i="1"/>
  <c r="I22" i="1"/>
  <c r="S196" i="1"/>
  <c r="I64" i="1"/>
  <c r="K565" i="1"/>
  <c r="J102" i="1"/>
  <c r="K229" i="1"/>
  <c r="Q204" i="1"/>
  <c r="S498" i="1"/>
  <c r="S593" i="1"/>
  <c r="T203" i="1"/>
  <c r="J508" i="1"/>
  <c r="Q380" i="1"/>
  <c r="I77" i="1"/>
  <c r="K584" i="1"/>
  <c r="S587" i="1"/>
  <c r="Q298" i="1"/>
  <c r="S245" i="1"/>
  <c r="S258" i="1"/>
  <c r="I694" i="1"/>
  <c r="Q445" i="1"/>
  <c r="Q711" i="1"/>
  <c r="Q443" i="1"/>
  <c r="J204" i="1"/>
  <c r="I290" i="1"/>
  <c r="I75" i="1"/>
  <c r="R522" i="1"/>
  <c r="I407" i="1"/>
  <c r="Q71" i="1"/>
  <c r="S254" i="1"/>
  <c r="I656" i="1"/>
  <c r="L240" i="1"/>
  <c r="Q603" i="1"/>
  <c r="Q214" i="1"/>
  <c r="S189" i="1"/>
  <c r="L211" i="1"/>
  <c r="R586" i="1"/>
  <c r="K489" i="1"/>
  <c r="K186" i="1"/>
  <c r="J480" i="1"/>
  <c r="J589" i="1"/>
  <c r="Q559" i="1"/>
  <c r="I62" i="1"/>
  <c r="K185" i="1"/>
  <c r="T247" i="1"/>
  <c r="J577" i="1"/>
  <c r="Q596" i="1"/>
  <c r="K182" i="1"/>
  <c r="J601" i="1"/>
  <c r="Q446" i="1"/>
  <c r="K210" i="1"/>
  <c r="S230" i="1"/>
  <c r="S564" i="1"/>
  <c r="S525" i="1"/>
  <c r="R82" i="1"/>
  <c r="J215" i="1"/>
  <c r="Q659" i="1"/>
  <c r="J551" i="1"/>
  <c r="K499" i="1"/>
  <c r="R487" i="1"/>
  <c r="S225" i="1"/>
  <c r="Q530" i="1"/>
  <c r="J545" i="1"/>
  <c r="R551" i="1"/>
  <c r="I647" i="1"/>
  <c r="R234" i="1"/>
  <c r="I697" i="1"/>
  <c r="Q229" i="1"/>
  <c r="K508" i="1"/>
  <c r="Q690" i="1"/>
  <c r="I305" i="1"/>
  <c r="Q625" i="1"/>
  <c r="J247" i="1"/>
  <c r="S259" i="1"/>
  <c r="R601" i="1"/>
  <c r="J318" i="1"/>
  <c r="J314" i="1"/>
  <c r="R262" i="1"/>
  <c r="R104" i="1"/>
  <c r="I363" i="1"/>
  <c r="J195" i="1"/>
  <c r="I329" i="1"/>
  <c r="K484" i="1"/>
  <c r="K231" i="1"/>
  <c r="Q147" i="1"/>
  <c r="I508" i="1"/>
  <c r="T188" i="1"/>
  <c r="J259" i="1"/>
  <c r="Q460" i="1"/>
  <c r="Q455" i="1"/>
  <c r="S512" i="1"/>
  <c r="I302" i="1"/>
  <c r="Q506" i="1"/>
  <c r="K505" i="1"/>
  <c r="I623" i="1"/>
  <c r="I637" i="1"/>
  <c r="S493" i="1"/>
  <c r="Q657" i="1"/>
  <c r="J185" i="1"/>
  <c r="J573" i="1"/>
  <c r="J250" i="1"/>
  <c r="I553" i="1"/>
  <c r="S546" i="1"/>
  <c r="I307" i="1"/>
  <c r="I472" i="1"/>
  <c r="T212" i="1"/>
  <c r="J335" i="1"/>
  <c r="Q662" i="1"/>
  <c r="J210" i="1"/>
  <c r="K583" i="1"/>
  <c r="L180" i="1"/>
  <c r="K494" i="1"/>
  <c r="I572" i="1"/>
  <c r="I195" i="1"/>
  <c r="R605" i="1"/>
  <c r="R211" i="1"/>
  <c r="R74" i="1"/>
  <c r="S182" i="1"/>
  <c r="S514" i="1"/>
  <c r="I511" i="1"/>
  <c r="J511" i="1"/>
  <c r="I544" i="1"/>
  <c r="R232" i="1"/>
  <c r="I337" i="1"/>
  <c r="R581" i="1"/>
  <c r="I705" i="1"/>
  <c r="K524" i="1"/>
  <c r="L248" i="1"/>
  <c r="J582" i="1"/>
  <c r="I714" i="1"/>
  <c r="Q473" i="1"/>
  <c r="J503" i="1"/>
  <c r="I662" i="1"/>
  <c r="J70" i="1"/>
  <c r="I317" i="1"/>
  <c r="I272" i="1"/>
  <c r="Q334" i="1"/>
  <c r="J558" i="1"/>
  <c r="Q570" i="1"/>
  <c r="I135" i="1"/>
  <c r="S223" i="1"/>
  <c r="I578" i="1"/>
  <c r="J86" i="1"/>
  <c r="I490" i="1"/>
  <c r="T245" i="1"/>
  <c r="J505" i="1"/>
  <c r="Q93" i="1"/>
  <c r="I527" i="1"/>
  <c r="I299" i="1"/>
  <c r="J198" i="1"/>
  <c r="Q582" i="1"/>
  <c r="S606" i="1"/>
  <c r="T199" i="1"/>
  <c r="Q247" i="1"/>
  <c r="T191" i="1"/>
  <c r="J474" i="1"/>
  <c r="J220" i="1"/>
  <c r="T262" i="1"/>
  <c r="Q88" i="1"/>
  <c r="J377" i="1"/>
  <c r="Q38" i="1"/>
  <c r="K224" i="1"/>
  <c r="Q384" i="1"/>
  <c r="I333" i="1"/>
  <c r="Q484" i="1"/>
  <c r="Q49" i="1"/>
  <c r="Q219" i="1"/>
  <c r="I460" i="1"/>
  <c r="I358" i="1"/>
  <c r="Q318" i="1"/>
  <c r="I369" i="1"/>
  <c r="J236" i="1"/>
  <c r="I313" i="1"/>
  <c r="T233" i="1"/>
  <c r="Q184" i="1"/>
  <c r="I467" i="1"/>
  <c r="S544" i="1"/>
  <c r="I405" i="1"/>
  <c r="I635" i="1"/>
  <c r="S602" i="1"/>
  <c r="I432" i="1"/>
  <c r="Q261" i="1"/>
  <c r="I589" i="1"/>
  <c r="R540" i="1"/>
  <c r="I287" i="1"/>
  <c r="T229" i="1"/>
  <c r="Q248" i="1"/>
  <c r="Q96" i="1"/>
  <c r="Q515" i="1"/>
  <c r="R188" i="1"/>
  <c r="I501" i="1"/>
  <c r="I443" i="1"/>
  <c r="J527" i="1"/>
  <c r="I392" i="1"/>
  <c r="I616" i="1"/>
  <c r="I197" i="1"/>
  <c r="Q628" i="1"/>
  <c r="J481" i="1"/>
  <c r="S519" i="1"/>
  <c r="S588" i="1"/>
  <c r="Q260" i="1"/>
  <c r="Q470" i="1"/>
  <c r="Q344" i="1"/>
  <c r="R368" i="1"/>
  <c r="Q576" i="1"/>
  <c r="Q452" i="1"/>
  <c r="R349" i="1"/>
  <c r="J342" i="1"/>
  <c r="I517" i="1"/>
  <c r="S206" i="1"/>
  <c r="T225" i="1"/>
  <c r="Q125" i="1"/>
  <c r="Q448" i="1"/>
  <c r="I285" i="1"/>
  <c r="S180" i="1"/>
  <c r="K548" i="1"/>
  <c r="K490" i="1"/>
  <c r="J585" i="1"/>
  <c r="I630" i="1"/>
  <c r="R218" i="1"/>
  <c r="R207" i="1"/>
  <c r="Q389" i="1"/>
  <c r="K482" i="1"/>
  <c r="Q333" i="1"/>
  <c r="K590" i="1"/>
  <c r="I666" i="1"/>
  <c r="Q594" i="1"/>
  <c r="I261" i="1"/>
  <c r="T240" i="1"/>
  <c r="L194" i="1"/>
  <c r="Q704" i="1"/>
  <c r="Q13" i="1"/>
  <c r="Q360" i="1"/>
  <c r="R79" i="1"/>
  <c r="Q444" i="1"/>
  <c r="I198" i="1"/>
  <c r="I442" i="1"/>
  <c r="I263" i="1"/>
  <c r="S517" i="1"/>
  <c r="S263" i="1"/>
  <c r="Q306" i="1"/>
  <c r="I674" i="1"/>
  <c r="R579" i="1"/>
  <c r="K497" i="1"/>
  <c r="I251" i="1"/>
  <c r="J226" i="1"/>
  <c r="R538" i="1"/>
  <c r="I394" i="1"/>
  <c r="Q636" i="1"/>
  <c r="J356" i="1"/>
  <c r="Q194" i="1"/>
  <c r="I583" i="1"/>
  <c r="J351" i="1"/>
  <c r="J224" i="1"/>
  <c r="R261" i="1"/>
  <c r="I579" i="1"/>
  <c r="K240" i="1"/>
  <c r="I582" i="1"/>
  <c r="R500" i="1"/>
  <c r="Q525" i="1"/>
  <c r="Q640" i="1"/>
  <c r="J520" i="1"/>
  <c r="I610" i="1"/>
  <c r="I231" i="1"/>
  <c r="I502" i="1"/>
  <c r="S226" i="1"/>
  <c r="I699" i="1"/>
  <c r="T221" i="1"/>
  <c r="J568" i="1"/>
  <c r="T185" i="1"/>
  <c r="R357" i="1"/>
  <c r="I353" i="1"/>
  <c r="I431" i="1"/>
  <c r="Q415" i="1"/>
  <c r="K518" i="1"/>
  <c r="K196" i="1"/>
  <c r="Q639" i="1"/>
  <c r="Q545" i="1"/>
  <c r="J323" i="1"/>
  <c r="R322" i="1"/>
  <c r="J562" i="1"/>
  <c r="Q312" i="1"/>
  <c r="Q322" i="1"/>
  <c r="I345" i="1"/>
  <c r="S583" i="1"/>
  <c r="S511" i="1"/>
  <c r="S561" i="1"/>
  <c r="Q610" i="1"/>
  <c r="J369" i="1"/>
  <c r="T211" i="1"/>
  <c r="Q226" i="1"/>
  <c r="Q517" i="1"/>
  <c r="I45" i="1"/>
  <c r="R120" i="1"/>
  <c r="I657" i="1"/>
  <c r="J333" i="1"/>
  <c r="K218" i="1"/>
  <c r="Q131" i="1"/>
  <c r="J329" i="1"/>
  <c r="S560" i="1"/>
  <c r="I362" i="1"/>
  <c r="Q313" i="1"/>
  <c r="R253" i="1"/>
  <c r="Q84" i="1"/>
  <c r="T241" i="1"/>
  <c r="Q316" i="1"/>
  <c r="R367" i="1"/>
  <c r="I689" i="1"/>
  <c r="I180" i="1"/>
  <c r="S198" i="1"/>
  <c r="Q118" i="1"/>
  <c r="J600" i="1"/>
  <c r="K496" i="1"/>
  <c r="R488" i="1"/>
  <c r="L257" i="1"/>
  <c r="S534" i="1"/>
  <c r="R201" i="1"/>
  <c r="K576" i="1"/>
  <c r="Q273" i="1"/>
  <c r="Q11" i="1"/>
  <c r="Q262" i="1"/>
  <c r="R372" i="1"/>
  <c r="I588" i="1"/>
  <c r="I473" i="1"/>
  <c r="I236" i="1"/>
  <c r="Q227" i="1"/>
  <c r="Q590" i="1"/>
  <c r="K559" i="1"/>
  <c r="I241" i="1"/>
  <c r="T231" i="1"/>
  <c r="S535" i="1"/>
  <c r="L246" i="1"/>
  <c r="I336" i="1"/>
  <c r="I189" i="1"/>
  <c r="I602" i="1"/>
  <c r="K585" i="1"/>
  <c r="I393" i="1"/>
  <c r="I569" i="1"/>
  <c r="I182" i="1"/>
  <c r="S197" i="1"/>
  <c r="R491" i="1"/>
  <c r="Q303" i="1"/>
  <c r="Q159" i="1"/>
  <c r="I492" i="1"/>
  <c r="Q31" i="1"/>
  <c r="I327" i="1"/>
  <c r="Q99" i="1"/>
  <c r="J219" i="1"/>
  <c r="I410" i="1"/>
  <c r="R486" i="1"/>
  <c r="R183" i="1"/>
  <c r="Q165" i="1"/>
  <c r="S507" i="1"/>
  <c r="J212" i="1"/>
  <c r="S605" i="1"/>
  <c r="K573" i="1"/>
  <c r="S488" i="1"/>
  <c r="I364" i="1"/>
  <c r="Q671" i="1"/>
  <c r="Q498" i="1"/>
  <c r="Q685" i="1"/>
  <c r="Q549" i="1"/>
  <c r="J213" i="1"/>
  <c r="Q206" i="1"/>
  <c r="K577" i="1"/>
  <c r="S567" i="1"/>
  <c r="R115" i="1"/>
  <c r="I515" i="1"/>
  <c r="R545" i="1"/>
  <c r="R86" i="1"/>
  <c r="Q17" i="1"/>
  <c r="I427" i="1"/>
  <c r="Q653" i="1"/>
  <c r="T250" i="1"/>
  <c r="I560" i="1"/>
  <c r="K554" i="1"/>
  <c r="R194" i="1"/>
  <c r="I533" i="1"/>
  <c r="Q117" i="1"/>
  <c r="Q393" i="1"/>
  <c r="K183" i="1"/>
  <c r="T243" i="1"/>
  <c r="S523" i="1"/>
  <c r="Q301" i="1"/>
  <c r="Q320" i="1"/>
  <c r="Q658" i="1"/>
  <c r="Q309" i="1"/>
  <c r="J477" i="1"/>
  <c r="J379" i="1"/>
  <c r="T259" i="1"/>
  <c r="Q494" i="1"/>
  <c r="Q497" i="1"/>
  <c r="K556" i="1"/>
  <c r="Q323" i="1"/>
  <c r="L195" i="1"/>
  <c r="Q583" i="1"/>
  <c r="Q551" i="1"/>
  <c r="Q663" i="1"/>
  <c r="S536" i="1"/>
  <c r="Q601" i="1"/>
  <c r="R363" i="1"/>
  <c r="Q274" i="1"/>
  <c r="Q474" i="1"/>
  <c r="I485" i="1"/>
  <c r="R315" i="1"/>
  <c r="S255" i="1"/>
  <c r="I528" i="1"/>
  <c r="I596" i="1"/>
  <c r="Q337" i="1"/>
  <c r="J532" i="1"/>
  <c r="Q25" i="1"/>
  <c r="Q61" i="1"/>
  <c r="Q423" i="1"/>
  <c r="K575" i="1"/>
  <c r="Q75" i="1"/>
  <c r="Q124" i="1"/>
  <c r="Q5" i="1"/>
  <c r="I275" i="1"/>
  <c r="R249" i="1"/>
  <c r="K536" i="1"/>
  <c r="S190" i="1"/>
  <c r="I253" i="1"/>
  <c r="J575" i="1"/>
  <c r="Q163" i="1"/>
  <c r="K594" i="1"/>
  <c r="R116" i="1"/>
  <c r="I558" i="1"/>
  <c r="L206" i="1"/>
  <c r="T215" i="1"/>
  <c r="S202" i="1"/>
  <c r="S529" i="1"/>
  <c r="Q713" i="1"/>
  <c r="I357" i="1"/>
  <c r="I605" i="1"/>
  <c r="Q258" i="1"/>
  <c r="R376" i="1"/>
  <c r="L215" i="1"/>
  <c r="Q341" i="1"/>
  <c r="I671" i="1"/>
  <c r="I240" i="1"/>
  <c r="R361" i="1"/>
  <c r="R247" i="1"/>
  <c r="Q412" i="1"/>
  <c r="Q44" i="1"/>
  <c r="L203" i="1"/>
  <c r="K553" i="1"/>
  <c r="Q72" i="1"/>
  <c r="Q613" i="1"/>
  <c r="Q385" i="1"/>
  <c r="Q489" i="1"/>
  <c r="R519" i="1"/>
  <c r="R560" i="1"/>
  <c r="R501" i="1"/>
  <c r="Q618" i="1"/>
  <c r="S214" i="1"/>
  <c r="Q627" i="1"/>
  <c r="I716" i="1"/>
  <c r="Q693" i="1"/>
  <c r="R260" i="1"/>
  <c r="Q231" i="1"/>
  <c r="R516" i="1"/>
  <c r="Q464" i="1"/>
  <c r="I284" i="1"/>
  <c r="J554" i="1"/>
  <c r="R541" i="1"/>
  <c r="Q346" i="1"/>
  <c r="Q477" i="1"/>
  <c r="J482" i="1"/>
  <c r="L197" i="1"/>
  <c r="K248" i="1"/>
  <c r="J514" i="1"/>
  <c r="K243" i="1"/>
  <c r="T220" i="1"/>
  <c r="I293" i="1"/>
  <c r="R590" i="1"/>
  <c r="Q691" i="1"/>
  <c r="I660" i="1"/>
  <c r="I343" i="1"/>
  <c r="S543" i="1"/>
  <c r="S538" i="1"/>
  <c r="I133" i="1"/>
  <c r="R358" i="1"/>
  <c r="R246" i="1"/>
  <c r="I598" i="1"/>
  <c r="Q550" i="1"/>
  <c r="Q538" i="1"/>
  <c r="R583" i="1"/>
  <c r="K531" i="1"/>
  <c r="I238" i="1"/>
  <c r="Q439" i="1"/>
  <c r="R251" i="1"/>
  <c r="J249" i="1"/>
  <c r="Q139" i="1"/>
  <c r="Q317" i="1"/>
  <c r="Q69" i="1"/>
  <c r="R326" i="1"/>
  <c r="K507" i="1"/>
  <c r="S192" i="1"/>
  <c r="I259" i="1"/>
  <c r="L239" i="1"/>
  <c r="I628" i="1"/>
  <c r="L185" i="1"/>
  <c r="J359" i="1"/>
  <c r="I320" i="1"/>
  <c r="S221" i="1"/>
  <c r="I495" i="1"/>
  <c r="R317" i="1"/>
  <c r="R245" i="1"/>
  <c r="R335" i="1"/>
  <c r="Q392" i="1"/>
  <c r="Q638" i="1"/>
  <c r="J381" i="1"/>
  <c r="Q319" i="1"/>
  <c r="Q351" i="1"/>
  <c r="Q396" i="1"/>
  <c r="Q410" i="1"/>
  <c r="Q616" i="1"/>
  <c r="I457" i="1"/>
  <c r="Q80" i="1"/>
  <c r="Q144" i="1"/>
  <c r="Q89" i="1"/>
  <c r="R610" i="1"/>
  <c r="I478" i="1"/>
  <c r="Q246" i="1"/>
  <c r="R343" i="1"/>
  <c r="I612" i="1"/>
  <c r="I254" i="1"/>
  <c r="I60" i="1"/>
  <c r="J211" i="1"/>
  <c r="Q277" i="1"/>
  <c r="S235" i="1"/>
  <c r="K217" i="1"/>
  <c r="Q239" i="1"/>
  <c r="I690" i="1"/>
  <c r="T206" i="1"/>
  <c r="K202" i="1"/>
  <c r="T197" i="1"/>
  <c r="Q688" i="1"/>
  <c r="J491" i="1"/>
  <c r="S234" i="1"/>
  <c r="J497" i="1"/>
  <c r="I406" i="1"/>
  <c r="I487" i="1"/>
  <c r="S609" i="1"/>
  <c r="Q609" i="1"/>
  <c r="Q63" i="1"/>
  <c r="I452" i="1"/>
  <c r="Q176" i="1"/>
  <c r="K603" i="1"/>
  <c r="J324" i="1"/>
  <c r="S485" i="1"/>
  <c r="Q190" i="1"/>
  <c r="Q178" i="1"/>
  <c r="I715" i="1"/>
  <c r="R199" i="1"/>
  <c r="I717" i="1"/>
  <c r="I625" i="1"/>
  <c r="Q358" i="1"/>
  <c r="Q160" i="1"/>
  <c r="K530" i="1"/>
  <c r="I321" i="1"/>
  <c r="J365" i="1"/>
  <c r="L192" i="1"/>
  <c r="I323" i="1"/>
  <c r="J382" i="1"/>
  <c r="L245" i="1"/>
  <c r="Q397" i="1"/>
  <c r="J549" i="1"/>
  <c r="I386" i="1"/>
  <c r="J483" i="1"/>
  <c r="Q310" i="1"/>
  <c r="S227" i="1"/>
  <c r="Q488" i="1"/>
  <c r="K234" i="1"/>
  <c r="Q416" i="1"/>
  <c r="J352" i="1"/>
  <c r="R224" i="1"/>
  <c r="I385" i="1"/>
  <c r="Q390" i="1"/>
  <c r="Q127" i="1"/>
  <c r="R563" i="1"/>
  <c r="Q526" i="1"/>
  <c r="R236" i="1"/>
  <c r="I342" i="1"/>
  <c r="I547" i="1"/>
  <c r="S480" i="1"/>
  <c r="K221" i="1"/>
  <c r="I631" i="1"/>
  <c r="J182" i="1"/>
  <c r="Q342" i="1"/>
  <c r="J540" i="1"/>
  <c r="I722" i="1"/>
  <c r="Q490" i="1"/>
  <c r="S204" i="1"/>
  <c r="Q278" i="1"/>
  <c r="I700" i="1"/>
  <c r="L205" i="1"/>
  <c r="Q425" i="1"/>
  <c r="I645" i="1"/>
  <c r="Q543" i="1"/>
  <c r="J543" i="1"/>
  <c r="I421" i="1"/>
  <c r="I201" i="1"/>
  <c r="J366" i="1"/>
  <c r="K567" i="1"/>
  <c r="Q138" i="1"/>
  <c r="Q175" i="1"/>
  <c r="R102" i="1"/>
  <c r="R482" i="1"/>
  <c r="I54" i="1"/>
  <c r="R479" i="1"/>
  <c r="J518" i="1"/>
  <c r="K546" i="1"/>
  <c r="R214" i="1"/>
  <c r="I520" i="1"/>
  <c r="I379" i="1"/>
  <c r="Q409" i="1"/>
  <c r="Q438" i="1"/>
  <c r="K519" i="1"/>
  <c r="I575" i="1"/>
  <c r="S246" i="1"/>
  <c r="S566" i="1"/>
  <c r="Q297" i="1"/>
  <c r="I474" i="1"/>
  <c r="I523" i="1"/>
  <c r="R67" i="1"/>
  <c r="I611" i="1"/>
  <c r="I428" i="1"/>
  <c r="Q65" i="1"/>
  <c r="Q562" i="1"/>
  <c r="I360" i="1"/>
  <c r="I445" i="1"/>
  <c r="K525" i="1"/>
  <c r="I202" i="1"/>
  <c r="Q196" i="1"/>
  <c r="R346" i="1"/>
  <c r="T210" i="1"/>
  <c r="K228" i="1"/>
  <c r="S548" i="1"/>
  <c r="Q123" i="1"/>
  <c r="R185" i="1"/>
  <c r="S584" i="1"/>
  <c r="R180" i="1"/>
  <c r="J319" i="1"/>
  <c r="J355" i="1"/>
  <c r="Q50" i="1"/>
  <c r="Q285" i="1"/>
  <c r="I706" i="1"/>
  <c r="Q266" i="1"/>
  <c r="R497" i="1"/>
  <c r="J231" i="1"/>
  <c r="R98" i="1"/>
  <c r="Q574" i="1"/>
  <c r="I651" i="1"/>
  <c r="S598" i="1"/>
  <c r="R597" i="1"/>
  <c r="Q513" i="1"/>
  <c r="J218" i="1"/>
  <c r="K200" i="1"/>
  <c r="Q230" i="1"/>
  <c r="I480" i="1"/>
  <c r="Q642" i="1"/>
  <c r="K242" i="1"/>
  <c r="J599" i="1"/>
  <c r="R89" i="1"/>
  <c r="Q64" i="1"/>
  <c r="R569" i="1"/>
  <c r="J544" i="1"/>
  <c r="J586" i="1"/>
  <c r="I510" i="1"/>
  <c r="Q411" i="1"/>
  <c r="I590" i="1"/>
  <c r="Q715" i="1"/>
  <c r="K222" i="1"/>
  <c r="R565" i="1"/>
  <c r="I404" i="1"/>
  <c r="Q356" i="1"/>
  <c r="S216" i="1"/>
  <c r="T183" i="1"/>
  <c r="R561" i="1"/>
  <c r="J209" i="1"/>
  <c r="Q696" i="1"/>
  <c r="I655" i="1"/>
  <c r="Q283" i="1"/>
  <c r="Q325" i="1"/>
  <c r="I468" i="1"/>
  <c r="Q171" i="1"/>
  <c r="K254" i="1"/>
  <c r="Q122" i="1"/>
  <c r="J470" i="1"/>
  <c r="R330" i="1"/>
  <c r="Q467" i="1"/>
  <c r="Q304" i="1"/>
  <c r="Q722" i="1"/>
  <c r="T236" i="1"/>
  <c r="Q224" i="1"/>
  <c r="J334" i="1"/>
  <c r="J587" i="1"/>
  <c r="I352" i="1"/>
  <c r="R118" i="1"/>
  <c r="R103" i="1"/>
  <c r="J502" i="1"/>
  <c r="R263" i="1"/>
  <c r="Q60" i="1"/>
  <c r="Q502" i="1"/>
  <c r="T234" i="1"/>
  <c r="Q52" i="1"/>
  <c r="Q321" i="1"/>
  <c r="R119" i="1"/>
  <c r="Q27" i="1"/>
  <c r="Q660" i="1"/>
  <c r="R215" i="1"/>
  <c r="L184" i="1"/>
  <c r="Q288" i="1"/>
  <c r="S260" i="1"/>
  <c r="R348" i="1"/>
  <c r="Q187" i="1"/>
  <c r="J239" i="1"/>
  <c r="J326" i="1"/>
  <c r="I424" i="1"/>
  <c r="R494" i="1"/>
  <c r="J603" i="1"/>
  <c r="L219" i="1"/>
  <c r="I4" i="1"/>
  <c r="K572" i="1"/>
  <c r="K203" i="1"/>
  <c r="R238" i="1"/>
  <c r="K510" i="1"/>
  <c r="K571" i="1"/>
  <c r="Q634" i="1"/>
  <c r="Q413" i="1"/>
  <c r="J566" i="1"/>
  <c r="I514" i="1"/>
  <c r="Q373" i="1"/>
  <c r="R483" i="1"/>
  <c r="J315" i="1"/>
  <c r="I577" i="1"/>
  <c r="L234" i="1"/>
  <c r="I565" i="1"/>
  <c r="R64" i="1"/>
  <c r="R578" i="1"/>
  <c r="I708" i="1"/>
  <c r="Q645" i="1"/>
  <c r="L218" i="1"/>
  <c r="L227" i="1"/>
  <c r="T244" i="1"/>
  <c r="I351" i="1"/>
  <c r="Q142" i="1"/>
  <c r="K542" i="1"/>
  <c r="Q10" i="1"/>
  <c r="Q524" i="1"/>
  <c r="Q295" i="1"/>
  <c r="Q675" i="1"/>
  <c r="R111" i="1"/>
  <c r="I330" i="1"/>
  <c r="R181" i="1"/>
  <c r="I423" i="1"/>
  <c r="Q468" i="1"/>
  <c r="I676" i="1"/>
  <c r="Q236" i="1"/>
  <c r="I426" i="1"/>
  <c r="S610" i="1"/>
  <c r="J196" i="1"/>
  <c r="T216" i="1"/>
  <c r="S554" i="1"/>
  <c r="T209" i="1"/>
  <c r="L254" i="1"/>
  <c r="I604" i="1"/>
  <c r="Q362" i="1"/>
  <c r="I141" i="1"/>
  <c r="R481" i="1"/>
  <c r="R210" i="1"/>
  <c r="K596" i="1"/>
  <c r="Q143" i="1"/>
  <c r="R225" i="1"/>
  <c r="R571" i="1"/>
  <c r="R205" i="1"/>
  <c r="Q314" i="1"/>
  <c r="I280" i="1"/>
  <c r="I292" i="1"/>
  <c r="I183" i="1"/>
  <c r="I278" i="1"/>
  <c r="R319" i="1"/>
  <c r="R240" i="1"/>
  <c r="R345" i="1"/>
  <c r="T222" i="1"/>
  <c r="J557" i="1"/>
  <c r="K552" i="1"/>
  <c r="K512" i="1"/>
  <c r="J506" i="1"/>
  <c r="Q479" i="1"/>
  <c r="J232" i="1"/>
  <c r="L235" i="1"/>
  <c r="L256" i="1"/>
  <c r="T195" i="1"/>
  <c r="R244" i="1"/>
  <c r="J522" i="1"/>
  <c r="I489" i="1"/>
  <c r="I242" i="1"/>
  <c r="K538" i="1"/>
  <c r="I636" i="1"/>
  <c r="I621" i="1"/>
  <c r="J570" i="1"/>
  <c r="Q59" i="1"/>
  <c r="S556" i="1"/>
  <c r="R184" i="1"/>
  <c r="T261" i="1"/>
  <c r="J376" i="1"/>
  <c r="I608" i="1"/>
  <c r="Q615" i="1"/>
  <c r="Q70" i="1"/>
  <c r="L229" i="1"/>
  <c r="I682" i="1"/>
  <c r="Q170" i="1"/>
  <c r="R113" i="1"/>
  <c r="Q343" i="1"/>
  <c r="I723" i="1"/>
  <c r="J262" i="1"/>
  <c r="T208" i="1"/>
  <c r="I453" i="1"/>
  <c r="L202" i="1"/>
  <c r="Q354" i="1"/>
  <c r="J371" i="1"/>
  <c r="R63" i="1"/>
  <c r="I653" i="1"/>
  <c r="L196" i="1"/>
  <c r="R485" i="1"/>
  <c r="I208" i="1"/>
  <c r="I475" i="1"/>
  <c r="J328" i="1"/>
  <c r="Q240" i="1"/>
  <c r="S570" i="1"/>
  <c r="Q493" i="1"/>
  <c r="I563" i="1"/>
  <c r="T227" i="1"/>
  <c r="Q267" i="1"/>
  <c r="I243" i="1"/>
  <c r="Q533" i="1"/>
  <c r="Q723" i="1"/>
  <c r="R235" i="1"/>
  <c r="I418" i="1"/>
  <c r="I521" i="1"/>
  <c r="S193" i="1"/>
  <c r="Q179" i="1"/>
  <c r="S550" i="1"/>
  <c r="Q39" i="1"/>
  <c r="L190" i="1"/>
  <c r="R470" i="1"/>
  <c r="I187" i="1"/>
  <c r="Q510" i="1"/>
  <c r="Q459" i="1"/>
  <c r="K189" i="1"/>
  <c r="S478" i="1"/>
  <c r="I607" i="1"/>
  <c r="I99" i="1"/>
  <c r="Q103" i="1"/>
  <c r="S484" i="1"/>
  <c r="R85" i="1"/>
  <c r="J473" i="1"/>
  <c r="Q619" i="1"/>
  <c r="K568" i="1"/>
  <c r="I328" i="1"/>
  <c r="K533" i="1"/>
  <c r="I707" i="1"/>
  <c r="J528" i="1"/>
  <c r="S500" i="1"/>
  <c r="I458" i="1"/>
  <c r="Q57" i="1"/>
  <c r="S599" i="1"/>
  <c r="I643" i="1"/>
  <c r="R212" i="1"/>
  <c r="R582" i="1"/>
  <c r="I228" i="1"/>
  <c r="S526" i="1"/>
  <c r="Q523" i="1"/>
  <c r="L259" i="1"/>
  <c r="R521" i="1"/>
  <c r="Q692" i="1"/>
  <c r="Q555" i="1"/>
  <c r="T198" i="1"/>
  <c r="Q192" i="1"/>
  <c r="I384" i="1"/>
  <c r="K261" i="1"/>
  <c r="Q629" i="1"/>
  <c r="J191" i="1"/>
  <c r="R336" i="1"/>
  <c r="R531" i="1"/>
  <c r="J576" i="1"/>
  <c r="R495" i="1"/>
  <c r="Q296" i="1"/>
  <c r="K609" i="1"/>
  <c r="Q419" i="1"/>
  <c r="S184" i="1"/>
  <c r="Q516" i="1"/>
  <c r="S508" i="1"/>
  <c r="J202" i="1"/>
  <c r="Q7" i="1"/>
  <c r="J490" i="1"/>
  <c r="R77" i="1"/>
  <c r="J593" i="1"/>
  <c r="T252" i="1"/>
  <c r="S568" i="1"/>
  <c r="R585" i="1"/>
  <c r="Q441" i="1"/>
  <c r="I466" i="1"/>
  <c r="K547" i="1"/>
  <c r="I524" i="1"/>
  <c r="L225" i="1"/>
  <c r="J486" i="1"/>
  <c r="Q367" i="1"/>
  <c r="R608" i="1"/>
  <c r="I557" i="1"/>
  <c r="I519" i="1"/>
  <c r="Q485" i="1"/>
  <c r="I401" i="1"/>
  <c r="Q371" i="1"/>
  <c r="R239" i="1"/>
  <c r="I286" i="1"/>
  <c r="Q548" i="1"/>
  <c r="Q546" i="1"/>
  <c r="I576" i="1"/>
  <c r="I277" i="1"/>
  <c r="R323" i="1"/>
  <c r="Q24" i="1"/>
  <c r="I479" i="1"/>
  <c r="I192" i="1"/>
  <c r="I348" i="1"/>
  <c r="Q547" i="1"/>
  <c r="K532" i="1"/>
  <c r="S212" i="1"/>
  <c r="J591" i="1"/>
  <c r="K226" i="1"/>
  <c r="K486" i="1"/>
  <c r="Q85" i="1"/>
  <c r="Q429" i="1"/>
  <c r="Q593" i="1"/>
  <c r="J579" i="1"/>
  <c r="I269" i="1"/>
  <c r="Q15" i="1"/>
  <c r="J567" i="1"/>
  <c r="I359" i="1"/>
  <c r="Q521" i="1"/>
  <c r="J217" i="1"/>
  <c r="I316" i="1"/>
  <c r="Q336" i="1"/>
  <c r="Q529" i="1"/>
  <c r="Q34" i="1"/>
  <c r="I232" i="1"/>
  <c r="R328" i="1"/>
  <c r="T257" i="1"/>
  <c r="Q102" i="1"/>
  <c r="Q83" i="1"/>
  <c r="J496" i="1"/>
  <c r="Q66" i="1"/>
  <c r="R580" i="1"/>
  <c r="K233" i="1"/>
  <c r="S472" i="1"/>
  <c r="Q620" i="1"/>
  <c r="R484" i="1"/>
  <c r="Q291" i="1"/>
  <c r="Q535" i="1"/>
  <c r="R209" i="1"/>
  <c r="Q235" i="1"/>
  <c r="I237" i="1"/>
  <c r="I402" i="1"/>
  <c r="Q573" i="1"/>
  <c r="K475" i="1"/>
  <c r="Q200" i="1"/>
  <c r="Q53" i="1"/>
  <c r="I199" i="1"/>
  <c r="R593" i="1"/>
  <c r="I225" i="1"/>
  <c r="K514" i="1"/>
  <c r="Q633" i="1"/>
  <c r="Q408" i="1"/>
  <c r="S520" i="1"/>
  <c r="I518" i="1"/>
  <c r="R572" i="1"/>
  <c r="Q702" i="1"/>
  <c r="Q48" i="1"/>
  <c r="Q350" i="1"/>
  <c r="J564" i="1"/>
  <c r="S585" i="1"/>
  <c r="J581" i="1"/>
  <c r="L193" i="1"/>
  <c r="I245" i="1"/>
  <c r="I438" i="1"/>
  <c r="I667" i="1"/>
  <c r="S521" i="1"/>
  <c r="Q149" i="1"/>
  <c r="I639" i="1"/>
  <c r="K250" i="1"/>
  <c r="K245" i="1"/>
  <c r="Q183" i="1"/>
  <c r="I593" i="1"/>
  <c r="K198" i="1"/>
  <c r="Q697" i="1"/>
  <c r="S581" i="1"/>
  <c r="Q707" i="1"/>
  <c r="Q649" i="1"/>
  <c r="Q78" i="1"/>
  <c r="Q400" i="1"/>
  <c r="R509" i="1"/>
  <c r="Q41" i="1"/>
  <c r="Q503" i="1"/>
  <c r="J368" i="1"/>
  <c r="Q335" i="1"/>
  <c r="Q605" i="1"/>
  <c r="Q588" i="1"/>
  <c r="I440" i="1"/>
  <c r="Q655" i="1"/>
  <c r="I301" i="1"/>
  <c r="K522" i="1"/>
  <c r="Q569" i="1"/>
  <c r="J206" i="1"/>
  <c r="S592" i="1"/>
  <c r="R609" i="1"/>
  <c r="I696" i="1"/>
  <c r="Q269" i="1"/>
  <c r="K237" i="1"/>
  <c r="S532" i="1"/>
  <c r="Q290" i="1"/>
  <c r="R539" i="1"/>
  <c r="I538" i="1"/>
  <c r="Q495" i="1"/>
  <c r="Q631" i="1"/>
  <c r="Q698" i="1"/>
  <c r="R543" i="1"/>
  <c r="I709" i="1"/>
  <c r="Q100" i="1"/>
  <c r="I540" i="1"/>
  <c r="J358" i="1"/>
  <c r="I642" i="1"/>
  <c r="I399" i="1"/>
  <c r="I204" i="1"/>
  <c r="L182" i="1"/>
  <c r="I710" i="1"/>
  <c r="I600" i="1"/>
  <c r="I454" i="1"/>
  <c r="S569" i="1"/>
  <c r="S509" i="1"/>
  <c r="S222" i="1"/>
  <c r="R248" i="1"/>
  <c r="Q243" i="1"/>
  <c r="R373" i="1"/>
  <c r="K579" i="1"/>
  <c r="Q624" i="1"/>
  <c r="K205" i="1"/>
  <c r="Q440" i="1"/>
  <c r="I396" i="1"/>
  <c r="Q650" i="1"/>
  <c r="Q684" i="1"/>
  <c r="K477" i="1"/>
  <c r="Q137" i="1"/>
  <c r="R353" i="1"/>
  <c r="I233" i="1"/>
  <c r="K192" i="1"/>
  <c r="S250" i="1"/>
  <c r="I422" i="1"/>
  <c r="Q402" i="1"/>
  <c r="J253" i="1"/>
  <c r="J338" i="1"/>
  <c r="R553" i="1"/>
  <c r="S183" i="1"/>
  <c r="S483" i="1"/>
  <c r="R502" i="1"/>
  <c r="J230" i="1"/>
  <c r="I703" i="1"/>
  <c r="Q203" i="1"/>
  <c r="R568" i="1"/>
  <c r="I224" i="1"/>
  <c r="Q268" i="1"/>
  <c r="K208" i="1"/>
  <c r="Q592" i="1"/>
  <c r="R100" i="1"/>
  <c r="L214" i="1"/>
  <c r="Q578" i="1"/>
  <c r="S565" i="1"/>
  <c r="R320" i="1"/>
  <c r="T258" i="1"/>
  <c r="K215" i="1"/>
  <c r="I319" i="1"/>
  <c r="Q114" i="1"/>
  <c r="S490" i="1"/>
  <c r="J237" i="1"/>
  <c r="Q146" i="1"/>
  <c r="I308" i="1"/>
  <c r="R203" i="1"/>
  <c r="T192" i="1"/>
  <c r="S522" i="1"/>
  <c r="Q9" i="1"/>
  <c r="S231" i="1"/>
  <c r="R547" i="1"/>
  <c r="I411" i="1"/>
  <c r="R339" i="1"/>
  <c r="T214" i="1"/>
  <c r="R525" i="1"/>
  <c r="J534" i="1"/>
  <c r="L221" i="1"/>
  <c r="I408" i="1"/>
  <c r="J537" i="1"/>
  <c r="S513" i="1"/>
  <c r="J597" i="1"/>
  <c r="R379" i="1"/>
  <c r="Q589" i="1"/>
  <c r="Q109" i="1"/>
  <c r="K181" i="1"/>
  <c r="J344" i="1"/>
  <c r="J538" i="1"/>
  <c r="T182" i="1"/>
  <c r="I663" i="1"/>
  <c r="I644" i="1"/>
  <c r="Q436" i="1"/>
  <c r="I652" i="1"/>
  <c r="R518" i="1"/>
  <c r="I685" i="1"/>
  <c r="Q478" i="1"/>
  <c r="K598" i="1"/>
  <c r="L255" i="1"/>
  <c r="S213" i="1"/>
  <c r="I366" i="1"/>
  <c r="K259" i="1"/>
  <c r="R122" i="1"/>
  <c r="J339" i="1"/>
  <c r="I493" i="1"/>
  <c r="Q531" i="1"/>
  <c r="K262" i="1"/>
  <c r="K485" i="1"/>
  <c r="J332" i="1"/>
  <c r="R552" i="1"/>
  <c r="R197" i="1"/>
  <c r="I291" i="1"/>
  <c r="S530" i="1"/>
  <c r="Q404" i="1"/>
  <c r="T181" i="1"/>
  <c r="R213" i="1"/>
  <c r="R591" i="1"/>
  <c r="I448" i="1"/>
  <c r="Q209" i="1"/>
  <c r="Q241" i="1"/>
  <c r="Q302" i="1"/>
  <c r="I591" i="1"/>
  <c r="I568" i="1"/>
  <c r="S191" i="1"/>
  <c r="J523" i="1"/>
  <c r="S205" i="1"/>
  <c r="R65" i="1"/>
  <c r="S494" i="1"/>
  <c r="R606" i="1"/>
  <c r="Q270" i="1"/>
  <c r="S537" i="1"/>
  <c r="I634" i="1"/>
  <c r="J560" i="1"/>
  <c r="Q145" i="1"/>
  <c r="J193" i="1"/>
  <c r="J546" i="1"/>
  <c r="Q164" i="1"/>
  <c r="K193" i="1"/>
  <c r="J583" i="1"/>
  <c r="R196" i="1"/>
  <c r="Q394" i="1"/>
  <c r="I325" i="1"/>
  <c r="I688" i="1"/>
  <c r="Q482" i="1"/>
  <c r="I447" i="1"/>
  <c r="R577" i="1"/>
  <c r="R106" i="1"/>
  <c r="S238" i="1"/>
  <c r="J360" i="1"/>
  <c r="I718" i="1"/>
  <c r="Q40" i="1"/>
  <c r="I542" i="1"/>
  <c r="S209" i="1"/>
  <c r="Q431" i="1"/>
  <c r="L232" i="1"/>
  <c r="J606" i="1"/>
  <c r="R517" i="1"/>
  <c r="Q701" i="1"/>
  <c r="Q472" i="1"/>
  <c r="Q434" i="1"/>
  <c r="Q614" i="1"/>
  <c r="I471" i="1"/>
  <c r="K241" i="1"/>
  <c r="Q141" i="1"/>
  <c r="I282" i="1"/>
  <c r="J517" i="1"/>
  <c r="T246" i="1"/>
  <c r="R574" i="1"/>
  <c r="I322" i="1"/>
  <c r="Q169" i="1"/>
  <c r="Q458" i="1"/>
  <c r="Q353" i="1"/>
  <c r="Q522" i="1"/>
  <c r="I217" i="1"/>
  <c r="J525" i="1"/>
  <c r="R511" i="1"/>
  <c r="R607" i="1"/>
  <c r="K580" i="1"/>
  <c r="I383" i="1"/>
  <c r="Q676" i="1"/>
  <c r="I724" i="1"/>
  <c r="Q580" i="1"/>
  <c r="I619" i="1"/>
  <c r="J524" i="1"/>
  <c r="Q626" i="1"/>
  <c r="I420" i="1"/>
  <c r="Q185" i="1"/>
  <c r="I684" i="1"/>
  <c r="S203" i="1"/>
  <c r="I504" i="1"/>
  <c r="I680" i="1"/>
  <c r="Q579" i="1"/>
  <c r="T232" i="1"/>
  <c r="Q422" i="1"/>
  <c r="S236" i="1"/>
  <c r="J494" i="1"/>
  <c r="R230" i="1"/>
  <c r="I513" i="1"/>
  <c r="Q507" i="1"/>
  <c r="Q687" i="1"/>
  <c r="J187" i="1"/>
  <c r="I573" i="1"/>
  <c r="K236" i="1"/>
  <c r="J346" i="1"/>
  <c r="Q23" i="1"/>
  <c r="T249" i="1"/>
  <c r="J553" i="1"/>
  <c r="S607" i="1"/>
  <c r="Q575" i="1"/>
  <c r="Q508" i="1"/>
  <c r="K487" i="1"/>
  <c r="Q110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<sst xmlns="http://schemas.openxmlformats.org/spreadsheetml/2006/main" count="2683" uniqueCount="1019">
  <si>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</si>
  <si>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</si>
  <si>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</si>
  <si>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</si>
  <si>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</si>
  <si>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</si>
  <si>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</si>
  <si>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</si>
  <si>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</si>
  <si>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</si>
  <si>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</si>
  <si>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</si>
  <si>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</si>
  <si>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</si>
  <si>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</si>
  <si>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</si>
  <si>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</si>
  <si>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</si>
  <si>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</si>
  <si>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</si>
  <si>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</si>
  <si>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</si>
  <si>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</si>
  <si>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</si>
  <si>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</si>
  <si>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</si>
  <si>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</si>
  <si>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</si>
  <si>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</si>
  <si>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</si>
  <si>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</si>
  <si>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</si>
  <si>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</si>
  <si>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</si>
  <si>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</si>
  <si>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</si>
  <si>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</si>
  <si>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</si>
  <si>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</si>
  <si>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</si>
  <si>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</si>
  <si>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</si>
  <si>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</si>
  <si>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</si>
  <si>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</si>
  <si>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</si>
  <si>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</si>
  <si>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</si>
  <si>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</si>
  <si>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</si>
  <si>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</si>
  <si>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</si>
  <si>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</si>
  <si>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</si>
  <si>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</si>
  <si>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</si>
  <si>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</si>
  <si>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</si>
  <si>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</si>
  <si>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</si>
  <si>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</si>
  <si>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</si>
  <si>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</si>
  <si>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</si>
  <si>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</si>
  <si>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</si>
  <si>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</si>
  <si>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</si>
  <si>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</si>
  <si>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</si>
  <si>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</si>
  <si>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</si>
  <si>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</si>
  <si>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</si>
  <si>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</si>
  <si>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</si>
  <si>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</si>
  <si>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</si>
  <si>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</si>
  <si>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</si>
  <si>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</si>
  <si>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</si>
  <si>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</si>
  <si>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</si>
  <si>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</si>
  <si>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</si>
  <si>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</si>
  <si>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</si>
  <si>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</si>
  <si>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</si>
  <si>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</si>
  <si>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</si>
  <si>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</si>
  <si>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</si>
  <si>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</si>
  <si>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</si>
  <si>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</si>
  <si>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</si>
  <si>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</si>
  <si>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</si>
  <si>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</si>
  <si>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</si>
  <si>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</si>
  <si>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</si>
  <si>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</si>
  <si>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</si>
  <si>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</si>
  <si>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</si>
  <si>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</si>
  <si>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</si>
  <si>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</si>
  <si>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</si>
  <si>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</si>
  <si>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</si>
  <si>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</si>
  <si>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</si>
  <si>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</si>
  <si>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</si>
  <si>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</si>
  <si>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</si>
  <si>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</si>
  <si>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</si>
  <si>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</si>
  <si>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</si>
  <si>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</si>
  <si>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</si>
  <si>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</si>
  <si>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</si>
  <si>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</si>
  <si>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</si>
  <si>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</si>
  <si>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</si>
  <si>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</si>
  <si>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</si>
  <si>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</si>
  <si>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</si>
  <si>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</si>
  <si>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</si>
  <si>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</si>
  <si>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</si>
  <si>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</si>
  <si>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</si>
  <si>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</si>
  <si>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</si>
  <si>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</si>
  <si>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</si>
  <si>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</si>
  <si>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</si>
  <si>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</si>
  <si>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</si>
  <si>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</si>
  <si>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</si>
  <si>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</si>
  <si>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</si>
  <si>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</si>
  <si>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</si>
  <si>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</si>
  <si>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</si>
  <si>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</si>
  <si>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</si>
  <si>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</si>
  <si>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</si>
  <si>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</si>
  <si>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</si>
  <si>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</si>
  <si>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</si>
  <si>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</si>
  <si>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</si>
  <si>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</si>
  <si>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</si>
  <si>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</si>
  <si>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</si>
  <si>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</si>
  <si>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</si>
  <si>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</si>
  <si>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</si>
  <si>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</si>
  <si>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</si>
  <si>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</si>
  <si>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</si>
  <si>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</si>
  <si>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</si>
  <si>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</si>
  <si>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</si>
  <si>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</si>
  <si>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</si>
  <si>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</si>
  <si>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</si>
  <si>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</si>
  <si>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</si>
  <si>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</si>
  <si>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</si>
  <si>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</si>
  <si>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</si>
  <si>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</si>
  <si>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</si>
  <si>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</si>
  <si>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</si>
  <si>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</si>
  <si>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</si>
  <si>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</si>
  <si>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</si>
  <si>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</si>
  <si>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</si>
  <si>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</si>
  <si>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</si>
  <si>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</si>
  <si>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</si>
  <si>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</si>
  <si>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</si>
  <si>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</si>
  <si>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</si>
  <si>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</si>
  <si>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</si>
  <si>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</si>
  <si>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</si>
  <si>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</si>
  <si>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</si>
  <si>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</si>
  <si>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</si>
  <si>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</si>
  <si>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</si>
  <si>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</si>
  <si>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</si>
  <si>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</si>
  <si>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</si>
  <si>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</si>
  <si>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</si>
  <si>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</si>
  <si>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</si>
  <si>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</si>
  <si>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</si>
  <si>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</si>
  <si>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</si>
  <si>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</si>
  <si>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</si>
  <si>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</si>
  <si>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</si>
  <si>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</si>
  <si>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</si>
  <si>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</si>
  <si>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</si>
  <si>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</si>
  <si>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</si>
  <si>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</si>
  <si>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</si>
  <si>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</si>
  <si>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</si>
  <si>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</si>
  <si>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</si>
  <si>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</si>
  <si>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</si>
  <si>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</si>
  <si>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</si>
  <si>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</si>
  <si>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</si>
  <si>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</si>
  <si>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</si>
  <si>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</si>
  <si>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</si>
  <si>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</si>
  <si>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</si>
  <si>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</si>
  <si>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</si>
  <si>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</si>
  <si>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</si>
  <si>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</si>
  <si>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</si>
  <si>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</si>
  <si>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</si>
  <si>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</si>
  <si>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</si>
  <si>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</si>
  <si>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</si>
  <si>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</si>
  <si>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</si>
  <si>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</si>
  <si>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</si>
  <si>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</si>
  <si>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</si>
  <si>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</si>
  <si>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</si>
  <si>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</si>
  <si>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</si>
  <si>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</si>
  <si>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</si>
  <si>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</si>
  <si>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</si>
  <si>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</si>
  <si>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</si>
  <si>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</si>
  <si>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</si>
  <si>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</si>
  <si>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</si>
  <si>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</si>
  <si>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</si>
  <si>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</si>
  <si>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</si>
  <si>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</si>
  <si>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</si>
  <si>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</si>
  <si>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</si>
  <si>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</si>
  <si>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</si>
  <si>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</si>
  <si>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</si>
  <si>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</si>
  <si>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</si>
  <si>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</si>
  <si>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</si>
  <si>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</si>
  <si>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</si>
  <si>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</si>
  <si>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</si>
  <si>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</si>
  <si>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</si>
  <si>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</si>
  <si>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</si>
  <si>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</si>
  <si>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</si>
  <si>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</si>
  <si>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</si>
  <si>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</si>
  <si>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</si>
  <si>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</si>
  <si>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</si>
  <si>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</si>
  <si>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</si>
  <si>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</si>
  <si>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</si>
  <si>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</si>
  <si>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</si>
  <si>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</si>
  <si>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</si>
  <si>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</si>
  <si>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</si>
  <si>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</si>
  <si>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</si>
  <si>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</si>
  <si>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</si>
  <si>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</si>
  <si>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</si>
  <si>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</si>
  <si>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</si>
  <si>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</si>
  <si>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</si>
  <si>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</si>
  <si>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</si>
  <si>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</si>
  <si>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</si>
  <si>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</si>
  <si>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</si>
  <si>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</si>
  <si>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</si>
  <si>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</si>
  <si>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</si>
  <si>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</si>
  <si>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</si>
  <si>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</si>
  <si>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</si>
  <si>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</si>
  <si>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</si>
  <si>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</si>
  <si>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</si>
  <si>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</si>
  <si>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</si>
  <si>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</si>
  <si>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</si>
  <si>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</si>
  <si>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</si>
  <si>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</si>
  <si>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</si>
  <si>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</si>
  <si>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</si>
  <si>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</si>
  <si>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</si>
  <si>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</si>
  <si>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</si>
  <si>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</si>
  <si>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</si>
  <si>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</si>
  <si>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</si>
  <si>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</si>
  <si>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</si>
  <si>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</si>
  <si>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</si>
  <si>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</si>
  <si>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</si>
  <si>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</si>
  <si>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</si>
  <si>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</si>
  <si>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</si>
  <si>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</si>
  <si>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</si>
  <si>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</si>
  <si>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</si>
  <si>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</si>
  <si>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</si>
  <si>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</si>
  <si>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</si>
  <si>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</si>
  <si>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</si>
  <si>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</si>
  <si>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</si>
  <si>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</si>
  <si>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</si>
  <si>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</si>
  <si>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</si>
  <si>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</si>
  <si>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</si>
  <si>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</si>
  <si>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</si>
  <si>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</si>
  <si>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</si>
  <si>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</si>
  <si>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</si>
  <si>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</si>
  <si>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</si>
  <si>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</si>
  <si>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</si>
  <si>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</si>
  <si>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</si>
  <si>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</si>
  <si>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</si>
  <si>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</si>
  <si>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</si>
  <si>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</si>
  <si>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</si>
  <si>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</si>
  <si>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</si>
  <si>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</si>
  <si>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</si>
  <si>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</si>
  <si>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</si>
  <si>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</si>
  <si>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</si>
  <si>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</si>
  <si>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</si>
  <si>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</si>
  <si>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</si>
  <si>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</si>
  <si>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</si>
  <si>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</si>
  <si>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</si>
  <si>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</si>
  <si>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</si>
  <si>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</si>
  <si>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</si>
  <si>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</si>
  <si>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</si>
  <si>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</si>
  <si>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</si>
  <si>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</si>
  <si>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</si>
  <si>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</si>
  <si>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</si>
  <si>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</si>
  <si>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</si>
  <si>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</si>
  <si>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</si>
  <si>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</si>
  <si>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</si>
  <si>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</si>
  <si>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</si>
  <si>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</si>
  <si>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</si>
  <si>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</si>
  <si>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</si>
  <si>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</si>
  <si>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</si>
  <si>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</si>
  <si>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</si>
  <si>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</si>
  <si>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</si>
  <si>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</si>
  <si>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</si>
  <si>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</si>
  <si>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</si>
  <si>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</si>
  <si>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</si>
  <si>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</si>
  <si>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</si>
  <si>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</si>
  <si>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</si>
  <si>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</si>
  <si>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</si>
  <si>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</si>
  <si>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</si>
  <si>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</si>
  <si>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</si>
  <si>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</si>
  <si>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</si>
  <si>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</si>
  <si>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</si>
  <si>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</si>
  <si>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</si>
  <si>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</si>
  <si>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</si>
  <si>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</si>
  <si>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</si>
  <si>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</si>
  <si>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</si>
  <si>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</si>
  <si>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</si>
  <si>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</si>
  <si>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</si>
  <si>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</si>
  <si>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</si>
  <si>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</si>
  <si>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</si>
  <si>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</si>
  <si>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</si>
  <si>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</si>
  <si>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</si>
  <si>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</si>
  <si>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</si>
  <si>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</si>
  <si>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</si>
  <si>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</si>
  <si>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</si>
  <si>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</si>
  <si>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</si>
  <si>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</si>
  <si>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</si>
  <si>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</si>
  <si>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</si>
  <si>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</si>
  <si>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</si>
  <si>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</si>
  <si>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</si>
  <si>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</si>
  <si>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</si>
  <si>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</si>
  <si>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</si>
  <si>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</si>
  <si>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</si>
  <si>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</si>
  <si>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</si>
  <si>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</si>
  <si>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</si>
  <si>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</si>
  <si>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</si>
  <si>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</si>
  <si>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</si>
  <si>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</si>
  <si>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</si>
  <si>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</si>
  <si>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</si>
  <si>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</si>
  <si>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</si>
  <si>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</si>
  <si>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</si>
  <si>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</si>
  <si>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</si>
  <si>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</si>
  <si>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</si>
  <si>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</si>
  <si>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</si>
  <si>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</si>
  <si>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</si>
  <si>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</si>
  <si>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</si>
  <si>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</si>
  <si>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</si>
  <si>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</si>
  <si>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</si>
  <si>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</si>
  <si>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</si>
  <si>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</si>
  <si>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</si>
  <si>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</si>
  <si>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</si>
  <si>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</si>
  <si>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</si>
  <si>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</si>
  <si>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</si>
  <si>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</si>
  <si>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</si>
  <si>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</si>
  <si>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</si>
  <si>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</si>
  <si>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</si>
  <si>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</si>
  <si>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</si>
  <si>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</si>
  <si>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</si>
  <si>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</si>
  <si>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</si>
  <si>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</si>
  <si>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</si>
  <si>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</si>
  <si>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</si>
  <si>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</si>
  <si>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</si>
  <si>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</si>
  <si>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</si>
  <si>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</si>
  <si>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</si>
  <si>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</si>
  <si>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</si>
  <si>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</si>
  <si>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</si>
  <si>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</si>
  <si>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</si>
  <si>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</si>
  <si>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</si>
  <si>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</si>
  <si>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</si>
  <si>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</si>
  <si>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</si>
  <si>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</si>
  <si>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</si>
  <si>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</si>
  <si>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</si>
  <si>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</si>
  <si>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</si>
  <si>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</si>
  <si>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</si>
  <si>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</si>
  <si>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</si>
  <si>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</si>
  <si>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</si>
  <si>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</si>
  <si>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</si>
  <si>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</si>
  <si>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</si>
  <si>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</si>
  <si>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</si>
  <si>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</si>
  <si>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</si>
  <si>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</si>
  <si>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</si>
  <si>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</si>
  <si>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</si>
  <si>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</si>
  <si>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</si>
  <si>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</si>
  <si>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</si>
  <si>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</si>
  <si>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</si>
  <si>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</si>
  <si>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</si>
  <si>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</si>
  <si>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</si>
  <si>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</si>
  <si>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</si>
  <si>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</si>
  <si>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</si>
  <si>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</si>
  <si>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</si>
  <si>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</si>
  <si>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</si>
  <si>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</si>
  <si>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</si>
  <si>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</si>
  <si>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</si>
  <si>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</si>
  <si>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</si>
  <si>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</si>
  <si>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</si>
  <si>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</si>
  <si>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</si>
  <si>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</si>
  <si>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</si>
  <si>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</si>
  <si>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</si>
  <si>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</si>
  <si>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</si>
  <si>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</si>
  <si>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</si>
  <si>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</si>
  <si>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</si>
  <si>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</si>
  <si>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</si>
  <si>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</si>
  <si>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</si>
  <si>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</si>
  <si>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</si>
  <si>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</si>
  <si>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</si>
  <si>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</si>
  <si>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</si>
  <si>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</si>
  <si>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</si>
  <si>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</si>
  <si>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</si>
  <si>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</si>
  <si>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</si>
  <si>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</si>
  <si>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</si>
  <si>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</si>
  <si>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</si>
  <si>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</si>
  <si>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</si>
  <si>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</si>
  <si>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</si>
  <si>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</si>
  <si>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</si>
  <si>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</si>
  <si>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</si>
  <si>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</si>
  <si>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</si>
  <si>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</si>
  <si>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</si>
  <si>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</si>
  <si>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</si>
  <si>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</si>
  <si>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</si>
  <si>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</si>
  <si>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</si>
  <si>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</si>
  <si>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</si>
  <si>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</si>
  <si>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</si>
  <si>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</si>
  <si>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</si>
  <si>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</si>
  <si>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</si>
  <si>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</si>
  <si>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</si>
  <si>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</si>
  <si>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</si>
  <si>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</si>
  <si>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</si>
  <si>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</si>
  <si>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</si>
  <si>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</si>
  <si>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</si>
  <si>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</si>
  <si>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</si>
  <si>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</si>
  <si>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</si>
  <si>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</si>
  <si>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</si>
  <si>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</si>
  <si>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</si>
  <si>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</si>
  <si>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</si>
  <si>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</si>
  <si>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</si>
  <si>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</si>
  <si>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</si>
  <si>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</si>
  <si>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</si>
  <si>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</si>
  <si>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</si>
  <si>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</si>
  <si>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</si>
  <si>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</si>
  <si>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</si>
  <si>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</si>
  <si>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</si>
  <si>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</si>
  <si>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</si>
  <si>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</si>
  <si>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</si>
  <si>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</si>
  <si>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</si>
  <si>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</si>
  <si>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</si>
  <si>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</si>
  <si>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</si>
  <si>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</si>
  <si>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</si>
  <si>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</si>
  <si>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</si>
  <si>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</si>
  <si>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</si>
  <si>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</si>
  <si>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</si>
  <si>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</si>
  <si>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</si>
  <si>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</si>
  <si>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</si>
  <si>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</si>
  <si>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</si>
  <si>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</si>
  <si>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</si>
  <si>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</si>
  <si>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</si>
  <si>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</si>
  <si>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</si>
  <si>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</si>
  <si>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</si>
  <si>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</si>
  <si>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</si>
  <si>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</si>
  <si>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</si>
  <si>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</si>
  <si>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</si>
  <si>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</si>
  <si>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</si>
  <si>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</si>
  <si>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</si>
  <si>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</si>
  <si>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</si>
  <si>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</si>
  <si>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</si>
  <si>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</si>
  <si>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</si>
  <si>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</si>
  <si>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</si>
  <si>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</si>
  <si>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</si>
  <si>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</si>
  <si>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</si>
  <si>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</si>
  <si>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</si>
  <si>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</si>
  <si>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</si>
  <si>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</si>
  <si>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</si>
  <si>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</si>
  <si>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</si>
  <si>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</si>
  <si>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</si>
  <si>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</si>
  <si>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</si>
  <si>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</si>
  <si>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</si>
  <si>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</si>
  <si>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</si>
  <si>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</si>
  <si>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</si>
  <si>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</si>
  <si>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</si>
  <si>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</si>
  <si>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</si>
  <si>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</si>
  <si>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</si>
  <si>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</si>
  <si>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</si>
  <si>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</si>
  <si>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</si>
  <si>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</si>
  <si>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</si>
  <si>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</si>
  <si>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</si>
  <si>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</si>
  <si>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</si>
  <si>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</si>
  <si>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</si>
  <si>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</si>
  <si>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</si>
  <si>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</si>
  <si>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</si>
  <si>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</si>
  <si>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</si>
  <si>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</si>
  <si>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</si>
  <si>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</si>
  <si>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</si>
  <si>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</si>
  <si>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</si>
  <si>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</si>
  <si>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</si>
  <si>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</si>
  <si>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</si>
  <si>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</si>
  <si>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</si>
  <si>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</si>
  <si>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</si>
  <si>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</si>
  <si>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</si>
  <si>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</si>
  <si>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</si>
  <si>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</si>
  <si>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</si>
  <si>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</si>
  <si>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</si>
  <si>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</si>
  <si>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</si>
  <si>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</si>
  <si>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</si>
  <si>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</si>
  <si>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</si>
  <si>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</si>
  <si>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</si>
  <si>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</si>
  <si>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</si>
  <si>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</si>
  <si>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</si>
  <si>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</si>
  <si>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</si>
  <si>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</si>
  <si>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</si>
  <si>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</si>
  <si>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</si>
  <si>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</si>
  <si>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</si>
  <si>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</si>
  <si>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</si>
  <si>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</si>
  <si>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</si>
  <si>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</si>
  <si>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</si>
  <si>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</si>
  <si>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checkBaseNNumberでエラー</t>
  </si>
  <si>
    <t>checkBaseNNumber</t>
  </si>
  <si>
    <t>convRadixOfInt</t>
  </si>
  <si>
    <t>convRadixOfFrc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</si>
  <si>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</si>
  <si>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</si>
  <si>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</si>
  <si>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</si>
  <si>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</si>
  <si>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</si>
  <si>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</si>
  <si>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</si>
  <si>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</si>
  <si>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</si>
  <si>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</si>
  <si>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</si>
  <si>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</si>
  <si>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</si>
  <si>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</si>
  <si>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</si>
  <si>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</si>
  <si>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</si>
  <si>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</si>
  <si>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</si>
  <si>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</si>
  <si>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</si>
  <si>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</si>
  <si>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</si>
  <si>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</si>
  <si>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</si>
  <si>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</si>
  <si>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</si>
  <si>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</si>
  <si>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</si>
  <si>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</si>
  <si>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</si>
  <si>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</si>
  <si>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</si>
  <si>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</si>
  <si>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</si>
  <si>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</si>
  <si>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</si>
  <si>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</si>
  <si>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</si>
  <si>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</si>
  <si>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</si>
  <si>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</si>
  <si>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</si>
  <si>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</si>
  <si>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</si>
  <si>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</si>
  <si>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</si>
  <si>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</si>
  <si>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</si>
  <si>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</si>
  <si>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</si>
  <si>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</si>
  <si>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</si>
  <si>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</si>
  <si>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</si>
  <si>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</si>
  <si>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</si>
  <si>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</si>
  <si>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</si>
  <si>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</si>
  <si>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</si>
  <si>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</si>
  <si>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</si>
  <si>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</si>
  <si>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</si>
  <si>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</si>
  <si>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</si>
  <si>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</si>
  <si>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</si>
  <si>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</si>
  <si>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</si>
  <si>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</si>
  <si>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</si>
  <si>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</si>
  <si>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</si>
  <si>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</si>
  <si>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</si>
  <si>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</si>
  <si>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</si>
  <si>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</si>
  <si>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</si>
  <si>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</si>
  <si>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</si>
  <si>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</si>
  <si>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</si>
  <si>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</si>
  <si>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</si>
  <si>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</si>
  <si>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</si>
  <si>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</si>
  <si>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</si>
  <si>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</si>
  <si>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</si>
  <si>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</si>
  <si>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</si>
  <si>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</si>
  <si>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</si>
  <si>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</si>
  <si>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</si>
  <si>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</si>
  <si>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</si>
  <si>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</si>
  <si>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</si>
  <si>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</si>
  <si>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</si>
  <si>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</si>
  <si>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</si>
  <si>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</si>
  <si>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</si>
  <si>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</si>
  <si>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</si>
  <si>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</si>
  <si>
    <t>baseNMinus1sComplement</t>
  </si>
  <si>
    <t>baseNConv</t>
  </si>
  <si>
    <t>baseNDivision</t>
  </si>
  <si>
    <t>baseNMultiplication</t>
  </si>
  <si>
    <t>baseNAddition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</si>
</sst>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40" sqref="B40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1018</v>
      </c>
      <c r="B4" t="s">
        <v>897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baseNAddition(E4,F4,G4)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baseNAddition(E32,F32)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baseNAddition(E33,F33)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1017</v>
      </c>
      <c r="B34" s="2" t="s">
        <v>897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baseNMultiplication(E34,F34,G34)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baseNMultiplication(E58,F58)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baseNMultiplication(E59,F59)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1016</v>
      </c>
      <c r="B60" s="2" t="s">
        <v>897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baseNDivision(E60,F60,G60)</f>
        <v>#NULL!</v>
      </c>
      <c r="J60" s="2" t="e">
        <f t="shared" ref="J60:J88" si="4">baseNDivisionRem(E60,F60,G60)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997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 t="shared" si="4"/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baseNDivision(E89,F89)</f>
        <v>0.5</v>
      </c>
      <c r="J89" t="str">
        <f>baseNDivisionRem(E89,F89)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baseNDivision(E90,F90)</f>
        <v>#NUM!</v>
      </c>
      <c r="J90" t="e">
        <f>baseNDivisionRem(E90,F90)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965</v>
      </c>
      <c r="D91" s="2" t="s">
        <v>923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:I122" si="7">baseNDivision(E91,F91,G91,H91)</f>
        <v>0</v>
      </c>
      <c r="J91" s="2" t="str">
        <f t="shared" ref="J91:J122" si="8">baseNDivisionRem(E91,F91,G91,H91)</f>
        <v>41</v>
      </c>
      <c r="K91" s="2"/>
      <c r="L91" s="2"/>
      <c r="M91" s="3" t="s">
        <v>14</v>
      </c>
      <c r="N91" s="2" t="s">
        <v>994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si="7"/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9">getText(I92)=getText(M92)</f>
        <v>1</v>
      </c>
      <c r="R92" s="6" t="b">
        <f t="shared" si="9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7"/>
        <v>13</v>
      </c>
      <c r="J93" s="6" t="str">
        <f t="shared" si="8"/>
        <v>2</v>
      </c>
      <c r="K93" s="6"/>
      <c r="L93" s="6"/>
      <c r="M93" s="1" t="s">
        <v>969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7"/>
        <v>13.6</v>
      </c>
      <c r="J94" t="str">
        <f t="shared" si="8"/>
        <v>0.2</v>
      </c>
      <c r="M94" s="1" t="s">
        <v>973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7"/>
        <v>13.66</v>
      </c>
      <c r="J95" t="str">
        <f t="shared" si="8"/>
        <v>0.02</v>
      </c>
      <c r="M95" s="1" t="s">
        <v>974</v>
      </c>
      <c r="N95" t="s">
        <v>995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7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975</v>
      </c>
      <c r="N96" t="s">
        <v>996</v>
      </c>
      <c r="Q96" s="1" t="b">
        <f t="shared" si="6"/>
        <v>1</v>
      </c>
      <c r="R96" s="6" t="b">
        <f t="shared" si="6"/>
        <v>1</v>
      </c>
    </row>
    <row r="97" spans="3:18" x14ac:dyDescent="0.15">
      <c r="D97" t="s">
        <v>1011</v>
      </c>
      <c r="E97" s="1">
        <v>1</v>
      </c>
      <c r="F97" s="37">
        <v>33</v>
      </c>
      <c r="G97">
        <v>10</v>
      </c>
      <c r="H97">
        <v>3</v>
      </c>
      <c r="I97" s="1" t="str">
        <f t="shared" si="7"/>
        <v>0.030</v>
      </c>
      <c r="J97" t="str">
        <f t="shared" si="8"/>
        <v>0.010</v>
      </c>
      <c r="M97" s="1" t="s">
        <v>1012</v>
      </c>
      <c r="N97" t="s">
        <v>1013</v>
      </c>
      <c r="Q97" s="1" t="b">
        <f t="shared" ref="Q97" si="10">getText(I97)=getText(M97)</f>
        <v>1</v>
      </c>
      <c r="R97" s="6" t="b">
        <f t="shared" ref="R97" si="11">getText(J97)=getText(N97)</f>
        <v>1</v>
      </c>
    </row>
    <row r="98" spans="3:18" x14ac:dyDescent="0.15">
      <c r="C98" s="2" t="s">
        <v>966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 t="shared" si="7"/>
        <v>130</v>
      </c>
      <c r="J98" s="2" t="str">
        <f t="shared" si="8"/>
        <v>2</v>
      </c>
      <c r="K98" s="2"/>
      <c r="L98" s="2"/>
      <c r="M98" s="3" t="s">
        <v>976</v>
      </c>
      <c r="N98" s="2" t="s">
        <v>290</v>
      </c>
      <c r="O98" s="2"/>
      <c r="P98" s="2"/>
      <c r="Q98" s="3" t="b">
        <f t="shared" si="6"/>
        <v>1</v>
      </c>
      <c r="R98" s="2" t="b">
        <f t="shared" si="6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 t="shared" si="7"/>
        <v>136</v>
      </c>
      <c r="J99" t="str">
        <f t="shared" si="8"/>
        <v>0.2</v>
      </c>
      <c r="M99" s="1" t="s">
        <v>977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 t="shared" si="7"/>
        <v>136.6</v>
      </c>
      <c r="J100" t="str">
        <f t="shared" si="8"/>
        <v>0.02</v>
      </c>
      <c r="M100" s="1" t="s">
        <v>978</v>
      </c>
      <c r="N100" t="s">
        <v>995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 t="shared" si="7"/>
        <v>136.66</v>
      </c>
      <c r="J101" t="str">
        <f t="shared" si="8"/>
        <v>0.002</v>
      </c>
      <c r="M101" s="1" t="s">
        <v>979</v>
      </c>
      <c r="N101" t="s">
        <v>736</v>
      </c>
      <c r="Q101" s="1" t="b">
        <f t="shared" si="6"/>
        <v>1</v>
      </c>
      <c r="R101" s="6" t="b">
        <f t="shared" si="6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 t="shared" si="7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980</v>
      </c>
      <c r="N102" t="s">
        <v>998</v>
      </c>
      <c r="Q102" s="1" t="b">
        <f t="shared" si="6"/>
        <v>1</v>
      </c>
      <c r="R102" s="6" t="b">
        <f t="shared" si="6"/>
        <v>1</v>
      </c>
    </row>
    <row r="103" spans="3:18" x14ac:dyDescent="0.15">
      <c r="C103" s="2" t="s">
        <v>967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 t="shared" si="7"/>
        <v>120</v>
      </c>
      <c r="J103" s="2" t="str">
        <f t="shared" si="8"/>
        <v>1.4</v>
      </c>
      <c r="K103" s="2"/>
      <c r="L103" s="2"/>
      <c r="M103" s="3" t="s">
        <v>981</v>
      </c>
      <c r="N103" s="2" t="s">
        <v>999</v>
      </c>
      <c r="O103" s="2"/>
      <c r="P103" s="2"/>
      <c r="Q103" s="3" t="b">
        <f t="shared" si="6"/>
        <v>1</v>
      </c>
      <c r="R103" s="2" t="b">
        <f t="shared" si="6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 t="shared" si="7"/>
        <v>124</v>
      </c>
      <c r="J104" s="6" t="str">
        <f t="shared" si="8"/>
        <v>0.08</v>
      </c>
      <c r="K104" s="6"/>
      <c r="L104" s="6"/>
      <c r="M104" s="1" t="s">
        <v>939</v>
      </c>
      <c r="N104" s="6" t="s">
        <v>808</v>
      </c>
      <c r="O104" s="6"/>
      <c r="P104" s="6"/>
      <c r="Q104" s="1" t="b">
        <f t="shared" si="6"/>
        <v>1</v>
      </c>
      <c r="R104" s="6" t="b">
        <f t="shared" si="6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 t="shared" si="7"/>
        <v>124.2</v>
      </c>
      <c r="J105" t="str">
        <f t="shared" si="8"/>
        <v>0.014</v>
      </c>
      <c r="M105" s="1" t="s">
        <v>982</v>
      </c>
      <c r="N105" t="s">
        <v>1000</v>
      </c>
      <c r="Q105" s="1" t="b">
        <f t="shared" si="6"/>
        <v>1</v>
      </c>
      <c r="R105" s="6" t="b">
        <f t="shared" si="6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 t="shared" si="7"/>
        <v>124.24</v>
      </c>
      <c r="J106" t="str">
        <f t="shared" si="8"/>
        <v>0.0008</v>
      </c>
      <c r="M106" s="1" t="s">
        <v>983</v>
      </c>
      <c r="N106" t="s">
        <v>1002</v>
      </c>
      <c r="Q106" s="1" t="b">
        <f t="shared" si="6"/>
        <v>1</v>
      </c>
      <c r="R106" s="6" t="b">
        <f t="shared" si="6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 t="shared" si="7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984</v>
      </c>
      <c r="N107" t="s">
        <v>1001</v>
      </c>
      <c r="Q107" s="1" t="b">
        <f t="shared" si="6"/>
        <v>1</v>
      </c>
      <c r="R107" s="6" t="b">
        <f t="shared" si="6"/>
        <v>1</v>
      </c>
    </row>
    <row r="108" spans="3:18" x14ac:dyDescent="0.15">
      <c r="C108" s="2" t="s">
        <v>968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 t="shared" si="7"/>
        <v>10</v>
      </c>
      <c r="J108" s="2" t="str">
        <f t="shared" si="8"/>
        <v>11.234</v>
      </c>
      <c r="K108" s="2"/>
      <c r="L108" s="2"/>
      <c r="M108" s="3" t="s">
        <v>15</v>
      </c>
      <c r="N108" s="2" t="s">
        <v>1003</v>
      </c>
      <c r="O108" s="2"/>
      <c r="P108" s="2"/>
      <c r="Q108" s="3" t="b">
        <f t="shared" si="6"/>
        <v>1</v>
      </c>
      <c r="R108" s="2" t="b">
        <f t="shared" si="6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 t="shared" si="7"/>
        <v>13</v>
      </c>
      <c r="J109" s="6" t="str">
        <f t="shared" si="8"/>
        <v>2.234</v>
      </c>
      <c r="K109" s="6"/>
      <c r="L109" s="6"/>
      <c r="M109" s="1" t="s">
        <v>969</v>
      </c>
      <c r="N109" s="6" t="s">
        <v>1004</v>
      </c>
      <c r="O109" s="6"/>
      <c r="P109" s="6"/>
      <c r="Q109" s="1" t="b">
        <f t="shared" ref="Q109:R113" si="12">getText(I109)=getText(M109)</f>
        <v>1</v>
      </c>
      <c r="R109" s="6" t="b">
        <f t="shared" si="12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 t="shared" si="7"/>
        <v>13.7</v>
      </c>
      <c r="J110" t="str">
        <f t="shared" si="8"/>
        <v>0.134</v>
      </c>
      <c r="M110" s="1" t="s">
        <v>970</v>
      </c>
      <c r="N110" t="s">
        <v>1005</v>
      </c>
      <c r="Q110" s="1" t="b">
        <f t="shared" si="12"/>
        <v>1</v>
      </c>
      <c r="R110" s="6" t="b">
        <f t="shared" si="12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 t="shared" si="7"/>
        <v>13.74</v>
      </c>
      <c r="J111" t="str">
        <f t="shared" si="8"/>
        <v>0.014</v>
      </c>
      <c r="M111" s="1" t="s">
        <v>971</v>
      </c>
      <c r="N111" t="s">
        <v>1000</v>
      </c>
      <c r="Q111" s="1" t="b">
        <f t="shared" si="12"/>
        <v>1</v>
      </c>
      <c r="R111" s="6" t="b">
        <f t="shared" si="12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 t="shared" si="7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972</v>
      </c>
      <c r="N112" t="s">
        <v>996</v>
      </c>
      <c r="Q112" s="1" t="b">
        <f t="shared" si="12"/>
        <v>1</v>
      </c>
      <c r="R112" s="6" t="b">
        <f t="shared" si="12"/>
        <v>1</v>
      </c>
    </row>
    <row r="113" spans="1:18" x14ac:dyDescent="0.15">
      <c r="C113" s="2" t="s">
        <v>985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 t="shared" si="7"/>
        <v>130</v>
      </c>
      <c r="J113" s="2" t="str">
        <f t="shared" si="8"/>
        <v>2.234</v>
      </c>
      <c r="K113" s="2"/>
      <c r="L113" s="2"/>
      <c r="M113" s="3" t="s">
        <v>976</v>
      </c>
      <c r="N113" s="2" t="s">
        <v>1004</v>
      </c>
      <c r="O113" s="2"/>
      <c r="P113" s="2"/>
      <c r="Q113" s="3" t="b">
        <f t="shared" si="12"/>
        <v>1</v>
      </c>
      <c r="R113" s="2" t="b">
        <f t="shared" si="12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 t="shared" si="7"/>
        <v>137</v>
      </c>
      <c r="J114" s="6" t="str">
        <f t="shared" si="8"/>
        <v>0.134</v>
      </c>
      <c r="K114" s="6"/>
      <c r="L114" s="6"/>
      <c r="M114" s="1" t="s">
        <v>986</v>
      </c>
      <c r="N114" s="6" t="s">
        <v>1005</v>
      </c>
      <c r="O114" s="6"/>
      <c r="P114" s="6"/>
      <c r="Q114" s="1" t="b">
        <f t="shared" ref="Q114:R118" si="13">getText(I114)=getText(M114)</f>
        <v>1</v>
      </c>
      <c r="R114" s="6" t="b">
        <f t="shared" si="13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 t="shared" si="7"/>
        <v>137.4</v>
      </c>
      <c r="J115" t="str">
        <f t="shared" si="8"/>
        <v>0.014</v>
      </c>
      <c r="M115" s="1" t="s">
        <v>987</v>
      </c>
      <c r="N115" t="s">
        <v>1000</v>
      </c>
      <c r="Q115" s="1" t="b">
        <f t="shared" si="13"/>
        <v>1</v>
      </c>
      <c r="R115" s="6" t="b">
        <f t="shared" si="13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 t="shared" si="7"/>
        <v>137.44</v>
      </c>
      <c r="J116" t="str">
        <f t="shared" si="8"/>
        <v>0.002</v>
      </c>
      <c r="M116" s="1" t="s">
        <v>988</v>
      </c>
      <c r="N116" t="s">
        <v>736</v>
      </c>
      <c r="Q116" s="1" t="b">
        <f t="shared" si="13"/>
        <v>1</v>
      </c>
      <c r="R116" s="6" t="b">
        <f t="shared" si="13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 t="shared" si="7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989</v>
      </c>
      <c r="N117" t="s">
        <v>998</v>
      </c>
      <c r="Q117" s="1" t="b">
        <f t="shared" si="13"/>
        <v>1</v>
      </c>
      <c r="R117" s="6" t="b">
        <f t="shared" si="13"/>
        <v>1</v>
      </c>
    </row>
    <row r="118" spans="1:18" x14ac:dyDescent="0.15">
      <c r="C118" s="2" t="s">
        <v>990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 t="shared" si="7"/>
        <v>120</v>
      </c>
      <c r="J118" s="2" t="str">
        <f t="shared" si="8"/>
        <v>1.634</v>
      </c>
      <c r="K118" s="2"/>
      <c r="L118" s="2"/>
      <c r="M118" s="3" t="s">
        <v>981</v>
      </c>
      <c r="N118" s="2" t="s">
        <v>1006</v>
      </c>
      <c r="O118" s="2"/>
      <c r="P118" s="2"/>
      <c r="Q118" s="3" t="b">
        <f t="shared" si="13"/>
        <v>1</v>
      </c>
      <c r="R118" s="2" t="b">
        <f t="shared" si="13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 t="shared" si="7"/>
        <v>124</v>
      </c>
      <c r="J119" s="6" t="str">
        <f t="shared" si="8"/>
        <v>0.314</v>
      </c>
      <c r="K119" s="6"/>
      <c r="L119" s="6"/>
      <c r="M119" s="1" t="s">
        <v>939</v>
      </c>
      <c r="N119" s="6" t="s">
        <v>1007</v>
      </c>
      <c r="O119" s="6"/>
      <c r="P119" s="6"/>
      <c r="Q119" s="1" t="b">
        <f t="shared" ref="Q119:R122" si="14">getText(I119)=getText(M119)</f>
        <v>1</v>
      </c>
      <c r="R119" s="6" t="b">
        <f t="shared" si="14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 t="shared" si="7"/>
        <v>124.9</v>
      </c>
      <c r="J120" t="str">
        <f t="shared" si="8"/>
        <v>0.017</v>
      </c>
      <c r="M120" s="1" t="s">
        <v>991</v>
      </c>
      <c r="N120" t="s">
        <v>1008</v>
      </c>
      <c r="Q120" s="1" t="b">
        <f t="shared" si="14"/>
        <v>1</v>
      </c>
      <c r="R120" s="6" t="b">
        <f t="shared" si="14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 t="shared" si="7"/>
        <v>124.95</v>
      </c>
      <c r="J121" t="str">
        <f t="shared" si="8"/>
        <v>0.0005</v>
      </c>
      <c r="M121" s="1" t="s">
        <v>992</v>
      </c>
      <c r="N121" t="s">
        <v>1009</v>
      </c>
      <c r="Q121" s="1" t="b">
        <f t="shared" si="14"/>
        <v>1</v>
      </c>
      <c r="R121" s="6" t="b">
        <f t="shared" si="14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 t="shared" si="7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993</v>
      </c>
      <c r="N122" t="s">
        <v>1010</v>
      </c>
      <c r="Q122" s="1" t="b">
        <f t="shared" si="14"/>
        <v>1</v>
      </c>
      <c r="R122" s="6" t="b">
        <f t="shared" si="14"/>
        <v>1</v>
      </c>
    </row>
    <row r="123" spans="1:18" x14ac:dyDescent="0.15">
      <c r="A123" s="2" t="s">
        <v>1015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 t="shared" ref="I123:I139" si="15">baseNConv(E123,F123,G123,H123)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6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 t="shared" si="15"/>
        <v>#NUM!</v>
      </c>
      <c r="M124" s="1" t="e">
        <v>#NUM!</v>
      </c>
      <c r="Q124" s="1" t="b">
        <f t="shared" si="6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 t="shared" si="15"/>
        <v>#NULL!</v>
      </c>
      <c r="M125" s="1" t="e">
        <v>#NULL!</v>
      </c>
      <c r="Q125" s="1" t="b">
        <f t="shared" si="6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 t="shared" si="15"/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6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 t="shared" si="15"/>
        <v>1001</v>
      </c>
      <c r="M127" s="1" t="s">
        <v>384</v>
      </c>
      <c r="Q127" s="1" t="b">
        <f t="shared" si="6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 t="shared" si="15"/>
        <v>11</v>
      </c>
      <c r="M128" s="1" t="s">
        <v>18</v>
      </c>
      <c r="Q128" s="1" t="b">
        <f t="shared" si="6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 t="shared" si="15"/>
        <v>9</v>
      </c>
      <c r="M129" s="1" t="s">
        <v>100</v>
      </c>
      <c r="Q129" s="1" t="b">
        <f t="shared" si="6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 t="shared" si="15"/>
        <v>#NUM!</v>
      </c>
      <c r="M130" s="1" t="e">
        <v>#NUM!</v>
      </c>
      <c r="Q130" s="1" t="b">
        <f t="shared" si="6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 t="shared" si="15"/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6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 t="shared" si="15"/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6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 t="shared" si="15"/>
        <v>0.1</v>
      </c>
      <c r="M133" s="1" t="s">
        <v>718</v>
      </c>
      <c r="Q133" s="1" t="b">
        <f t="shared" si="6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 t="shared" si="15"/>
        <v>0.08</v>
      </c>
      <c r="M134" s="1" t="s">
        <v>808</v>
      </c>
      <c r="Q134" s="1" t="b">
        <f t="shared" si="6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 t="shared" si="15"/>
        <v>0.08</v>
      </c>
      <c r="M135" s="1" t="s">
        <v>808</v>
      </c>
      <c r="Q135" s="1" t="b">
        <f t="shared" si="6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 t="shared" si="15"/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6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 t="shared" si="15"/>
        <v>0.1</v>
      </c>
      <c r="M137" s="1" t="s">
        <v>718</v>
      </c>
      <c r="Q137" s="1" t="b">
        <f t="shared" si="6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 t="shared" si="15"/>
        <v>0.19</v>
      </c>
      <c r="M138" s="1" t="s">
        <v>813</v>
      </c>
      <c r="Q138" s="1" t="b">
        <f t="shared" si="6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 t="shared" si="15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6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baseNConv(E140,F140,G140)</f>
        <v>0.199999999999999999999999999999</v>
      </c>
      <c r="M140" s="1" t="s">
        <v>816</v>
      </c>
      <c r="Q140" s="1" t="b">
        <f t="shared" si="6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baseNConv(E141,F141,G141,H141)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6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baseNConv(E142,F142,G142,H142)</f>
        <v>-F</v>
      </c>
      <c r="M142" s="1" t="s">
        <v>819</v>
      </c>
      <c r="Q142" s="1" t="b">
        <f t="shared" si="6"/>
        <v>1</v>
      </c>
    </row>
    <row r="143" spans="1:17" x14ac:dyDescent="0.15">
      <c r="A143" s="2" t="s">
        <v>1014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 t="shared" ref="I143:I179" si="16">baseNMinus1sComplement(E143,F143)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6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 t="shared" si="16"/>
        <v>#NUM!</v>
      </c>
      <c r="M144" s="1" t="e">
        <v>#NUM!</v>
      </c>
      <c r="Q144" s="1" t="b">
        <f t="shared" si="6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 t="shared" si="16"/>
        <v>#NULL!</v>
      </c>
      <c r="M145" s="1" t="e">
        <v>#NULL!</v>
      </c>
      <c r="Q145" s="1" t="b">
        <f t="shared" si="6"/>
        <v>1</v>
      </c>
    </row>
    <row r="146" spans="2:17" x14ac:dyDescent="0.15">
      <c r="B146" s="2" t="s">
        <v>820</v>
      </c>
      <c r="C146" s="2" t="s">
        <v>821</v>
      </c>
      <c r="D146" s="2" t="s">
        <v>822</v>
      </c>
      <c r="E146" s="11" t="s">
        <v>827</v>
      </c>
      <c r="F146" s="38">
        <v>2</v>
      </c>
      <c r="G146" s="2"/>
      <c r="H146" s="24"/>
      <c r="I146" s="3" t="str">
        <f t="shared" si="16"/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6"/>
        <v>1</v>
      </c>
    </row>
    <row r="147" spans="2:17" x14ac:dyDescent="0.15">
      <c r="D147" t="s">
        <v>823</v>
      </c>
      <c r="E147" s="9" t="s">
        <v>828</v>
      </c>
      <c r="F147" s="37">
        <v>2</v>
      </c>
      <c r="H147" s="7"/>
      <c r="I147" s="1" t="str">
        <f t="shared" si="16"/>
        <v>0</v>
      </c>
      <c r="M147" s="1" t="s">
        <v>14</v>
      </c>
      <c r="Q147" s="1" t="b">
        <f t="shared" si="6"/>
        <v>1</v>
      </c>
    </row>
    <row r="148" spans="2:17" x14ac:dyDescent="0.15">
      <c r="D148" t="s">
        <v>824</v>
      </c>
      <c r="E148" s="9" t="s">
        <v>827</v>
      </c>
      <c r="F148" s="37">
        <v>7</v>
      </c>
      <c r="H148" s="7"/>
      <c r="I148" s="1" t="str">
        <f t="shared" si="16"/>
        <v>6</v>
      </c>
      <c r="M148" s="1" t="s">
        <v>750</v>
      </c>
      <c r="Q148" s="1" t="b">
        <f t="shared" si="6"/>
        <v>1</v>
      </c>
    </row>
    <row r="149" spans="2:17" x14ac:dyDescent="0.15">
      <c r="D149" t="s">
        <v>826</v>
      </c>
      <c r="E149" s="9" t="s">
        <v>829</v>
      </c>
      <c r="F149" s="37">
        <v>7</v>
      </c>
      <c r="H149" s="7"/>
      <c r="I149" s="1" t="str">
        <f t="shared" si="16"/>
        <v>3</v>
      </c>
      <c r="M149" s="1" t="s">
        <v>80</v>
      </c>
      <c r="Q149" s="1" t="b">
        <f t="shared" si="6"/>
        <v>1</v>
      </c>
    </row>
    <row r="150" spans="2:17" x14ac:dyDescent="0.15">
      <c r="D150" t="s">
        <v>825</v>
      </c>
      <c r="E150" s="9" t="s">
        <v>831</v>
      </c>
      <c r="F150" s="37">
        <v>7</v>
      </c>
      <c r="H150" s="7"/>
      <c r="I150" s="1" t="str">
        <f t="shared" si="16"/>
        <v>0</v>
      </c>
      <c r="M150" s="1" t="s">
        <v>14</v>
      </c>
      <c r="Q150" s="1" t="b">
        <f t="shared" si="6"/>
        <v>1</v>
      </c>
    </row>
    <row r="151" spans="2:17" x14ac:dyDescent="0.15">
      <c r="D151" t="s">
        <v>832</v>
      </c>
      <c r="E151" s="9" t="s">
        <v>827</v>
      </c>
      <c r="F151" s="37">
        <v>16</v>
      </c>
      <c r="H151" s="7"/>
      <c r="I151" s="1" t="str">
        <f t="shared" si="16"/>
        <v>F</v>
      </c>
      <c r="M151" s="1" t="s">
        <v>98</v>
      </c>
      <c r="Q151" s="1" t="b">
        <f t="shared" si="6"/>
        <v>1</v>
      </c>
    </row>
    <row r="152" spans="2:17" x14ac:dyDescent="0.15">
      <c r="D152" t="s">
        <v>833</v>
      </c>
      <c r="E152" s="9" t="s">
        <v>835</v>
      </c>
      <c r="F152" s="37">
        <v>16</v>
      </c>
      <c r="H152" s="7"/>
      <c r="I152" s="1" t="str">
        <f t="shared" si="16"/>
        <v>7</v>
      </c>
      <c r="M152" s="1" t="s">
        <v>830</v>
      </c>
      <c r="Q152" s="1" t="b">
        <f t="shared" si="6"/>
        <v>1</v>
      </c>
    </row>
    <row r="153" spans="2:17" x14ac:dyDescent="0.15">
      <c r="D153" t="s">
        <v>834</v>
      </c>
      <c r="E153" s="9" t="s">
        <v>836</v>
      </c>
      <c r="F153" s="37">
        <v>16</v>
      </c>
      <c r="H153" s="7"/>
      <c r="I153" s="1" t="str">
        <f t="shared" si="16"/>
        <v>0</v>
      </c>
      <c r="M153" s="1" t="s">
        <v>14</v>
      </c>
      <c r="Q153" s="1" t="b">
        <f t="shared" si="6"/>
        <v>1</v>
      </c>
    </row>
    <row r="154" spans="2:17" x14ac:dyDescent="0.15">
      <c r="C154" s="2" t="s">
        <v>837</v>
      </c>
      <c r="D154" s="2" t="s">
        <v>838</v>
      </c>
      <c r="E154" s="11" t="s">
        <v>839</v>
      </c>
      <c r="F154" s="38">
        <v>2</v>
      </c>
      <c r="G154" s="2"/>
      <c r="H154" s="24"/>
      <c r="I154" s="3" t="str">
        <f t="shared" si="16"/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6"/>
        <v>1</v>
      </c>
    </row>
    <row r="155" spans="2:17" x14ac:dyDescent="0.15">
      <c r="C155" s="6"/>
      <c r="D155" s="6"/>
      <c r="E155" s="9" t="s">
        <v>840</v>
      </c>
      <c r="F155" s="37">
        <v>2</v>
      </c>
      <c r="G155" s="6"/>
      <c r="H155" s="7"/>
      <c r="I155" s="1" t="str">
        <f t="shared" si="16"/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7" t="s">
        <v>841</v>
      </c>
      <c r="E156" s="9" t="s">
        <v>843</v>
      </c>
      <c r="F156" s="37">
        <v>7</v>
      </c>
      <c r="G156" s="6"/>
      <c r="H156" s="7"/>
      <c r="I156" s="1" t="str">
        <f t="shared" si="16"/>
        <v>06</v>
      </c>
      <c r="J156" s="6"/>
      <c r="K156" s="6"/>
      <c r="L156" s="6"/>
      <c r="M156" s="1" t="s">
        <v>844</v>
      </c>
      <c r="N156" s="6"/>
      <c r="O156" s="6"/>
      <c r="P156" s="6"/>
      <c r="Q156" s="1" t="b">
        <f t="shared" si="6"/>
        <v>1</v>
      </c>
    </row>
    <row r="157" spans="2:17" x14ac:dyDescent="0.15">
      <c r="C157" s="6"/>
      <c r="D157" s="6"/>
      <c r="E157" s="9" t="s">
        <v>845</v>
      </c>
      <c r="F157" s="37">
        <v>7</v>
      </c>
      <c r="G157" s="6"/>
      <c r="H157" s="7"/>
      <c r="I157" s="1" t="str">
        <f t="shared" si="16"/>
        <v>60</v>
      </c>
      <c r="J157" s="6"/>
      <c r="K157" s="6"/>
      <c r="L157" s="6"/>
      <c r="M157" s="1" t="s">
        <v>842</v>
      </c>
      <c r="N157" s="6"/>
      <c r="O157" s="6"/>
      <c r="P157" s="6"/>
      <c r="Q157" s="1" t="b">
        <f t="shared" ref="Q157:Q179" si="17">getText(I157)=getText(M157)</f>
        <v>1</v>
      </c>
    </row>
    <row r="158" spans="2:17" x14ac:dyDescent="0.15">
      <c r="C158" s="6"/>
      <c r="D158" s="7" t="s">
        <v>849</v>
      </c>
      <c r="E158" s="9" t="s">
        <v>847</v>
      </c>
      <c r="F158" s="37">
        <v>16</v>
      </c>
      <c r="G158" s="6"/>
      <c r="H158" s="7"/>
      <c r="I158" s="1" t="str">
        <f t="shared" si="16"/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17"/>
        <v>1</v>
      </c>
    </row>
    <row r="159" spans="2:17" x14ac:dyDescent="0.15">
      <c r="C159" s="6"/>
      <c r="D159" s="6"/>
      <c r="E159" s="9" t="s">
        <v>848</v>
      </c>
      <c r="F159" s="37">
        <v>16</v>
      </c>
      <c r="G159" s="6"/>
      <c r="H159" s="7"/>
      <c r="I159" s="1" t="str">
        <f t="shared" si="16"/>
        <v>F0</v>
      </c>
      <c r="J159" s="6"/>
      <c r="K159" s="6"/>
      <c r="L159" s="6"/>
      <c r="M159" s="1" t="s">
        <v>846</v>
      </c>
      <c r="N159" s="6"/>
      <c r="O159" s="6"/>
      <c r="P159" s="6"/>
      <c r="Q159" s="1" t="b">
        <f t="shared" si="17"/>
        <v>1</v>
      </c>
    </row>
    <row r="160" spans="2:17" x14ac:dyDescent="0.15">
      <c r="C160" s="2" t="s">
        <v>850</v>
      </c>
      <c r="D160" s="2" t="s">
        <v>838</v>
      </c>
      <c r="E160" s="11" t="s">
        <v>851</v>
      </c>
      <c r="F160" s="38">
        <v>2</v>
      </c>
      <c r="G160" s="2"/>
      <c r="H160" s="24"/>
      <c r="I160" s="3" t="str">
        <f t="shared" si="16"/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17"/>
        <v>1</v>
      </c>
    </row>
    <row r="161" spans="2:17" x14ac:dyDescent="0.15">
      <c r="C161" s="6"/>
      <c r="D161" s="6"/>
      <c r="E161" s="9" t="s">
        <v>852</v>
      </c>
      <c r="F161" s="37">
        <v>2</v>
      </c>
      <c r="G161" s="6"/>
      <c r="H161" s="7"/>
      <c r="I161" s="1" t="str">
        <f t="shared" si="16"/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17"/>
        <v>1</v>
      </c>
    </row>
    <row r="162" spans="2:17" x14ac:dyDescent="0.15">
      <c r="C162" s="6"/>
      <c r="D162" s="7" t="s">
        <v>841</v>
      </c>
      <c r="E162" s="9" t="s">
        <v>854</v>
      </c>
      <c r="F162" s="37">
        <v>7</v>
      </c>
      <c r="G162" s="6"/>
      <c r="H162" s="7"/>
      <c r="I162" s="1" t="str">
        <f t="shared" si="16"/>
        <v>036</v>
      </c>
      <c r="J162" s="6"/>
      <c r="K162" s="6"/>
      <c r="L162" s="6"/>
      <c r="M162" s="1" t="s">
        <v>855</v>
      </c>
      <c r="N162" s="6"/>
      <c r="O162" s="6"/>
      <c r="P162" s="6"/>
      <c r="Q162" s="1" t="b">
        <f t="shared" si="17"/>
        <v>1</v>
      </c>
    </row>
    <row r="163" spans="2:17" x14ac:dyDescent="0.15">
      <c r="C163" s="6"/>
      <c r="D163" s="6"/>
      <c r="E163" s="9" t="s">
        <v>856</v>
      </c>
      <c r="F163" s="37">
        <v>7</v>
      </c>
      <c r="G163" s="6"/>
      <c r="H163" s="7"/>
      <c r="I163" s="1" t="str">
        <f t="shared" si="16"/>
        <v>630</v>
      </c>
      <c r="J163" s="6"/>
      <c r="K163" s="6"/>
      <c r="L163" s="6"/>
      <c r="M163" s="1" t="s">
        <v>853</v>
      </c>
      <c r="N163" s="6"/>
      <c r="O163" s="6"/>
      <c r="P163" s="6"/>
      <c r="Q163" s="1" t="b">
        <f t="shared" si="17"/>
        <v>1</v>
      </c>
    </row>
    <row r="164" spans="2:17" x14ac:dyDescent="0.15">
      <c r="C164" s="6"/>
      <c r="D164" s="7" t="s">
        <v>849</v>
      </c>
      <c r="E164" s="9" t="s">
        <v>857</v>
      </c>
      <c r="F164" s="37">
        <v>16</v>
      </c>
      <c r="G164" s="6"/>
      <c r="H164" s="7"/>
      <c r="I164" s="1" t="str">
        <f t="shared" si="16"/>
        <v>07F</v>
      </c>
      <c r="J164" s="6"/>
      <c r="K164" s="6"/>
      <c r="L164" s="6"/>
      <c r="M164" s="1" t="s">
        <v>859</v>
      </c>
      <c r="N164" s="6"/>
      <c r="O164" s="6"/>
      <c r="P164" s="6"/>
      <c r="Q164" s="1" t="b">
        <f t="shared" si="17"/>
        <v>1</v>
      </c>
    </row>
    <row r="165" spans="2:17" x14ac:dyDescent="0.15">
      <c r="C165" s="6"/>
      <c r="D165" s="6"/>
      <c r="E165" s="9" t="s">
        <v>858</v>
      </c>
      <c r="F165" s="37">
        <v>16</v>
      </c>
      <c r="G165" s="6"/>
      <c r="H165" s="7"/>
      <c r="I165" s="1" t="str">
        <f t="shared" si="16"/>
        <v>F70</v>
      </c>
      <c r="J165" s="6"/>
      <c r="K165" s="6"/>
      <c r="L165" s="6"/>
      <c r="M165" s="1" t="s">
        <v>860</v>
      </c>
      <c r="N165" s="6"/>
      <c r="O165" s="6"/>
      <c r="P165" s="6"/>
      <c r="Q165" s="1" t="b">
        <f t="shared" si="17"/>
        <v>1</v>
      </c>
    </row>
    <row r="166" spans="2:17" x14ac:dyDescent="0.15">
      <c r="B166" s="2" t="s">
        <v>861</v>
      </c>
      <c r="C166" s="2" t="s">
        <v>862</v>
      </c>
      <c r="D166" s="2" t="s">
        <v>863</v>
      </c>
      <c r="E166" s="11" t="s">
        <v>827</v>
      </c>
      <c r="F166" s="38">
        <v>10</v>
      </c>
      <c r="G166" s="2"/>
      <c r="H166" s="24"/>
      <c r="I166" s="3" t="str">
        <f t="shared" si="16"/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17"/>
        <v>1</v>
      </c>
    </row>
    <row r="167" spans="2:17" x14ac:dyDescent="0.15">
      <c r="C167" s="6"/>
      <c r="D167" s="6" t="s">
        <v>864</v>
      </c>
      <c r="E167" s="9" t="s">
        <v>872</v>
      </c>
      <c r="F167" s="37">
        <v>10</v>
      </c>
      <c r="G167" s="6"/>
      <c r="H167" s="7"/>
      <c r="I167" s="1" t="str">
        <f t="shared" si="16"/>
        <v>9.0</v>
      </c>
      <c r="J167" s="6"/>
      <c r="K167" s="6"/>
      <c r="L167" s="6"/>
      <c r="M167" s="1" t="s">
        <v>869</v>
      </c>
      <c r="N167" s="6"/>
      <c r="O167" s="6"/>
      <c r="P167" s="6"/>
      <c r="Q167" s="1" t="b">
        <f t="shared" si="17"/>
        <v>1</v>
      </c>
    </row>
    <row r="168" spans="2:17" x14ac:dyDescent="0.15">
      <c r="C168" s="6"/>
      <c r="D168" s="6" t="s">
        <v>865</v>
      </c>
      <c r="E168" s="9" t="s">
        <v>873</v>
      </c>
      <c r="F168" s="37">
        <v>10</v>
      </c>
      <c r="G168" s="6"/>
      <c r="H168" s="7"/>
      <c r="I168" s="1" t="str">
        <f t="shared" si="16"/>
        <v>9.01</v>
      </c>
      <c r="J168" s="6"/>
      <c r="K168" s="6"/>
      <c r="L168" s="6"/>
      <c r="M168" s="1" t="s">
        <v>870</v>
      </c>
      <c r="N168" s="6"/>
      <c r="O168" s="6"/>
      <c r="P168" s="6"/>
      <c r="Q168" s="1" t="b">
        <f t="shared" si="17"/>
        <v>1</v>
      </c>
    </row>
    <row r="169" spans="2:17" x14ac:dyDescent="0.15">
      <c r="C169" s="6"/>
      <c r="D169" s="6" t="s">
        <v>866</v>
      </c>
      <c r="E169" s="9" t="s">
        <v>874</v>
      </c>
      <c r="F169" s="37">
        <v>10</v>
      </c>
      <c r="G169" s="6"/>
      <c r="H169" s="7"/>
      <c r="I169" s="1" t="str">
        <f t="shared" si="16"/>
        <v>9.012</v>
      </c>
      <c r="J169" s="6"/>
      <c r="K169" s="6"/>
      <c r="L169" s="6"/>
      <c r="M169" s="1" t="s">
        <v>871</v>
      </c>
      <c r="N169" s="6"/>
      <c r="O169" s="6"/>
      <c r="P169" s="6"/>
      <c r="Q169" s="1" t="b">
        <f t="shared" si="17"/>
        <v>1</v>
      </c>
    </row>
    <row r="170" spans="2:17" x14ac:dyDescent="0.15">
      <c r="C170" s="2" t="s">
        <v>867</v>
      </c>
      <c r="D170" s="2" t="s">
        <v>863</v>
      </c>
      <c r="E170" s="11" t="s">
        <v>875</v>
      </c>
      <c r="F170" s="38">
        <v>10</v>
      </c>
      <c r="G170" s="2"/>
      <c r="H170" s="24"/>
      <c r="I170" s="3" t="str">
        <f t="shared" si="16"/>
        <v>87</v>
      </c>
      <c r="J170" s="2"/>
      <c r="K170" s="2"/>
      <c r="L170" s="2"/>
      <c r="M170" s="3" t="s">
        <v>883</v>
      </c>
      <c r="N170" s="2"/>
      <c r="O170" s="2"/>
      <c r="P170" s="2"/>
      <c r="Q170" s="3" t="b">
        <f t="shared" si="17"/>
        <v>1</v>
      </c>
    </row>
    <row r="171" spans="2:17" x14ac:dyDescent="0.15">
      <c r="C171" s="6"/>
      <c r="D171" s="6" t="s">
        <v>864</v>
      </c>
      <c r="E171" s="9" t="s">
        <v>876</v>
      </c>
      <c r="F171" s="37">
        <v>10</v>
      </c>
      <c r="G171" s="6"/>
      <c r="H171" s="7"/>
      <c r="I171" s="1" t="str">
        <f t="shared" si="16"/>
        <v>87.0</v>
      </c>
      <c r="J171" s="6"/>
      <c r="K171" s="6"/>
      <c r="L171" s="6"/>
      <c r="M171" s="1" t="s">
        <v>884</v>
      </c>
      <c r="N171" s="6"/>
      <c r="O171" s="6"/>
      <c r="P171" s="6"/>
      <c r="Q171" s="1" t="b">
        <f t="shared" si="17"/>
        <v>1</v>
      </c>
    </row>
    <row r="172" spans="2:17" x14ac:dyDescent="0.15">
      <c r="C172" s="6"/>
      <c r="D172" s="6" t="s">
        <v>865</v>
      </c>
      <c r="E172" s="9" t="s">
        <v>877</v>
      </c>
      <c r="F172" s="37">
        <v>10</v>
      </c>
      <c r="G172" s="6"/>
      <c r="H172" s="7"/>
      <c r="I172" s="1" t="str">
        <f t="shared" si="16"/>
        <v>87.01</v>
      </c>
      <c r="J172" s="6"/>
      <c r="K172" s="6"/>
      <c r="L172" s="6"/>
      <c r="M172" s="1" t="s">
        <v>885</v>
      </c>
      <c r="N172" s="6"/>
      <c r="O172" s="6"/>
      <c r="P172" s="6"/>
      <c r="Q172" s="1" t="b">
        <f t="shared" si="17"/>
        <v>1</v>
      </c>
    </row>
    <row r="173" spans="2:17" x14ac:dyDescent="0.15">
      <c r="C173" s="6"/>
      <c r="D173" s="6" t="s">
        <v>866</v>
      </c>
      <c r="E173" s="9" t="s">
        <v>878</v>
      </c>
      <c r="F173" s="37">
        <v>10</v>
      </c>
      <c r="G173" s="6"/>
      <c r="H173" s="7"/>
      <c r="I173" s="1" t="str">
        <f t="shared" si="16"/>
        <v>87.012</v>
      </c>
      <c r="J173" s="6"/>
      <c r="K173" s="6"/>
      <c r="L173" s="6"/>
      <c r="M173" s="1" t="s">
        <v>886</v>
      </c>
      <c r="N173" s="6"/>
      <c r="O173" s="6"/>
      <c r="P173" s="6"/>
      <c r="Q173" s="1" t="b">
        <f t="shared" si="17"/>
        <v>1</v>
      </c>
    </row>
    <row r="174" spans="2:17" x14ac:dyDescent="0.15">
      <c r="C174" s="2" t="s">
        <v>868</v>
      </c>
      <c r="D174" s="2" t="s">
        <v>863</v>
      </c>
      <c r="E174" s="11" t="s">
        <v>879</v>
      </c>
      <c r="F174" s="38">
        <v>10</v>
      </c>
      <c r="G174" s="2"/>
      <c r="H174" s="24"/>
      <c r="I174" s="3" t="str">
        <f t="shared" si="16"/>
        <v>876</v>
      </c>
      <c r="J174" s="2"/>
      <c r="K174" s="2"/>
      <c r="L174" s="2"/>
      <c r="M174" s="3" t="s">
        <v>887</v>
      </c>
      <c r="N174" s="2"/>
      <c r="O174" s="2"/>
      <c r="P174" s="2"/>
      <c r="Q174" s="3" t="b">
        <f t="shared" si="17"/>
        <v>1</v>
      </c>
    </row>
    <row r="175" spans="2:17" x14ac:dyDescent="0.15">
      <c r="C175" s="6"/>
      <c r="D175" s="6" t="s">
        <v>864</v>
      </c>
      <c r="E175" s="9" t="s">
        <v>880</v>
      </c>
      <c r="F175" s="37">
        <v>10</v>
      </c>
      <c r="G175" s="6"/>
      <c r="H175" s="7"/>
      <c r="I175" s="1" t="str">
        <f t="shared" si="16"/>
        <v>876.0</v>
      </c>
      <c r="J175" s="6"/>
      <c r="K175" s="6"/>
      <c r="L175" s="6"/>
      <c r="M175" s="1" t="s">
        <v>888</v>
      </c>
      <c r="N175" s="6"/>
      <c r="O175" s="6"/>
      <c r="P175" s="6"/>
      <c r="Q175" s="1" t="b">
        <f t="shared" si="17"/>
        <v>1</v>
      </c>
    </row>
    <row r="176" spans="2:17" x14ac:dyDescent="0.15">
      <c r="C176" s="6"/>
      <c r="D176" s="6" t="s">
        <v>865</v>
      </c>
      <c r="E176" s="9" t="s">
        <v>881</v>
      </c>
      <c r="F176" s="37">
        <v>10</v>
      </c>
      <c r="G176" s="6"/>
      <c r="H176" s="7"/>
      <c r="I176" s="1" t="str">
        <f t="shared" si="16"/>
        <v>876.01</v>
      </c>
      <c r="J176" s="6"/>
      <c r="K176" s="6"/>
      <c r="L176" s="6"/>
      <c r="M176" s="1" t="s">
        <v>889</v>
      </c>
      <c r="N176" s="6"/>
      <c r="O176" s="6"/>
      <c r="P176" s="6"/>
      <c r="Q176" s="1" t="b">
        <f t="shared" si="17"/>
        <v>1</v>
      </c>
    </row>
    <row r="177" spans="1:20" x14ac:dyDescent="0.15">
      <c r="C177" s="6"/>
      <c r="D177" s="6" t="s">
        <v>866</v>
      </c>
      <c r="E177" s="9" t="s">
        <v>882</v>
      </c>
      <c r="F177" s="37">
        <v>10</v>
      </c>
      <c r="G177" s="6"/>
      <c r="H177" s="7"/>
      <c r="I177" s="1" t="str">
        <f t="shared" si="16"/>
        <v>876.012</v>
      </c>
      <c r="J177" s="6"/>
      <c r="K177" s="6"/>
      <c r="L177" s="6"/>
      <c r="M177" s="1" t="s">
        <v>890</v>
      </c>
      <c r="N177" s="6"/>
      <c r="O177" s="6"/>
      <c r="P177" s="6"/>
      <c r="Q177" s="1" t="b">
        <f t="shared" si="17"/>
        <v>1</v>
      </c>
    </row>
    <row r="178" spans="1:20" x14ac:dyDescent="0.15">
      <c r="B178" s="2" t="s">
        <v>891</v>
      </c>
      <c r="C178" s="2" t="s">
        <v>892</v>
      </c>
      <c r="D178" s="2"/>
      <c r="E178" s="11" t="s">
        <v>894</v>
      </c>
      <c r="F178" s="38">
        <v>10</v>
      </c>
      <c r="G178" s="2"/>
      <c r="H178" s="24"/>
      <c r="I178" s="3" t="str">
        <f t="shared" si="16"/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17"/>
        <v>1</v>
      </c>
    </row>
    <row r="179" spans="1:20" x14ac:dyDescent="0.15">
      <c r="C179" s="6" t="s">
        <v>893</v>
      </c>
      <c r="D179" s="6"/>
      <c r="E179" s="9" t="s">
        <v>895</v>
      </c>
      <c r="F179" s="37">
        <v>10</v>
      </c>
      <c r="G179" s="6"/>
      <c r="H179" s="7"/>
      <c r="I179" s="1" t="str">
        <f t="shared" si="16"/>
        <v>-5</v>
      </c>
      <c r="J179" s="6"/>
      <c r="K179" s="6"/>
      <c r="L179" s="6"/>
      <c r="M179" s="1" t="s">
        <v>896</v>
      </c>
      <c r="N179" s="6"/>
      <c r="O179" s="6"/>
      <c r="P179" s="6"/>
      <c r="Q179" s="1" t="b">
        <f t="shared" si="17"/>
        <v>1</v>
      </c>
    </row>
    <row r="180" spans="1:20" s="2" customFormat="1" x14ac:dyDescent="0.15">
      <c r="A180" s="2" t="s">
        <v>620</v>
      </c>
      <c r="B180" s="2" t="s">
        <v>897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18">getText(I180)=getText(M180)</f>
        <v>1</v>
      </c>
      <c r="R180" s="2" t="b">
        <f t="shared" ref="R180:R190" si="19">getText(J180)=getText(N180)</f>
        <v>1</v>
      </c>
      <c r="S180" s="2" t="b">
        <f t="shared" ref="S180:S190" si="20">getText(K180)=getText(O180)</f>
        <v>1</v>
      </c>
      <c r="T180" s="2" t="b">
        <f t="shared" ref="T180:T190" si="21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22">TESTseparateToIntAndFrc(E181,F181,G181)</f>
        <v>#NUM!</v>
      </c>
      <c r="J181" s="2" t="str">
        <f t="shared" ref="J181:J205" si="23">TESTseparateToIntAndFrcByRef1(E181,F181,G181)</f>
        <v/>
      </c>
      <c r="K181" s="2" t="str">
        <f t="shared" ref="K181:K205" si="24">TESTseparateToIntAndFrcByRef2(E181,F181,G181)</f>
        <v/>
      </c>
      <c r="L181" s="2" t="b">
        <f t="shared" ref="L181:L205" si="25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18"/>
        <v>1</v>
      </c>
      <c r="R181" s="2" t="b">
        <f t="shared" si="19"/>
        <v>1</v>
      </c>
      <c r="S181" s="2" t="b">
        <f t="shared" si="20"/>
        <v>1</v>
      </c>
      <c r="T181" s="2" t="b">
        <f t="shared" si="21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22"/>
        <v>0</v>
      </c>
      <c r="J182" s="2" t="str">
        <f t="shared" si="23"/>
        <v>1</v>
      </c>
      <c r="K182" s="2" t="str">
        <f t="shared" si="24"/>
        <v/>
      </c>
      <c r="L182" s="2" t="b">
        <f t="shared" si="25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26">getText(I182)=getText(M182)</f>
        <v>1</v>
      </c>
      <c r="R182" s="2" t="b">
        <f t="shared" ref="R182:R184" si="27">getText(J182)=getText(N182)</f>
        <v>1</v>
      </c>
      <c r="S182" s="2" t="b">
        <f t="shared" ref="S182:S184" si="28">getText(K182)=getText(O182)</f>
        <v>1</v>
      </c>
      <c r="T182" s="2" t="b">
        <f t="shared" ref="T182:T184" si="29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22"/>
        <v>0</v>
      </c>
      <c r="J183" t="str">
        <f t="shared" si="23"/>
        <v>12</v>
      </c>
      <c r="K183" t="str">
        <f t="shared" si="24"/>
        <v/>
      </c>
      <c r="L183" t="b">
        <f t="shared" si="25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26"/>
        <v>1</v>
      </c>
      <c r="R183" t="b">
        <f t="shared" si="27"/>
        <v>1</v>
      </c>
      <c r="S183" t="b">
        <f t="shared" si="28"/>
        <v>1</v>
      </c>
      <c r="T183" t="b">
        <f t="shared" si="29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22"/>
        <v>0</v>
      </c>
      <c r="J184" t="str">
        <f t="shared" si="23"/>
        <v>123</v>
      </c>
      <c r="K184" t="str">
        <f t="shared" si="24"/>
        <v/>
      </c>
      <c r="L184" t="b">
        <f t="shared" si="25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26"/>
        <v>1</v>
      </c>
      <c r="R184" t="b">
        <f t="shared" si="27"/>
        <v>1</v>
      </c>
      <c r="S184" t="b">
        <f t="shared" si="28"/>
        <v>1</v>
      </c>
      <c r="T184" t="b">
        <f t="shared" si="29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22"/>
        <v>0</v>
      </c>
      <c r="J185" s="2" t="str">
        <f t="shared" si="23"/>
        <v>1</v>
      </c>
      <c r="K185" s="2" t="str">
        <f t="shared" si="24"/>
        <v/>
      </c>
      <c r="L185" s="2" t="b">
        <f t="shared" si="25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18"/>
        <v>1</v>
      </c>
      <c r="R185" s="2" t="b">
        <f t="shared" si="19"/>
        <v>1</v>
      </c>
      <c r="S185" s="2" t="b">
        <f t="shared" si="20"/>
        <v>1</v>
      </c>
      <c r="T185" s="2" t="b">
        <f t="shared" si="21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22"/>
        <v>0</v>
      </c>
      <c r="J186" t="str">
        <f t="shared" si="23"/>
        <v>12</v>
      </c>
      <c r="K186" t="str">
        <f t="shared" si="24"/>
        <v/>
      </c>
      <c r="L186" t="b">
        <f t="shared" si="25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18"/>
        <v>1</v>
      </c>
      <c r="R186" t="b">
        <f t="shared" si="19"/>
        <v>1</v>
      </c>
      <c r="S186" t="b">
        <f t="shared" si="20"/>
        <v>1</v>
      </c>
      <c r="T186" t="b">
        <f t="shared" si="21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22"/>
        <v>0</v>
      </c>
      <c r="J187" t="str">
        <f t="shared" si="23"/>
        <v>123</v>
      </c>
      <c r="K187" t="str">
        <f t="shared" si="24"/>
        <v/>
      </c>
      <c r="L187" t="b">
        <f t="shared" si="25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18"/>
        <v>1</v>
      </c>
      <c r="R187" t="b">
        <f t="shared" si="19"/>
        <v>1</v>
      </c>
      <c r="S187" t="b">
        <f t="shared" si="20"/>
        <v>1</v>
      </c>
      <c r="T187" t="b">
        <f t="shared" si="21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22"/>
        <v>0</v>
      </c>
      <c r="J188" s="2" t="str">
        <f t="shared" si="23"/>
        <v>1</v>
      </c>
      <c r="K188" s="2" t="str">
        <f t="shared" si="24"/>
        <v>2</v>
      </c>
      <c r="L188" s="2" t="b">
        <f t="shared" si="25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18"/>
        <v>1</v>
      </c>
      <c r="R188" s="2" t="b">
        <f t="shared" si="19"/>
        <v>1</v>
      </c>
      <c r="S188" s="2" t="b">
        <f t="shared" si="20"/>
        <v>1</v>
      </c>
      <c r="T188" s="2" t="b">
        <f t="shared" si="21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22"/>
        <v>0</v>
      </c>
      <c r="J189" t="str">
        <f t="shared" si="23"/>
        <v>1</v>
      </c>
      <c r="K189" t="str">
        <f t="shared" si="24"/>
        <v>23</v>
      </c>
      <c r="L189" t="b">
        <f t="shared" si="25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18"/>
        <v>1</v>
      </c>
      <c r="R189" t="b">
        <f t="shared" si="19"/>
        <v>1</v>
      </c>
      <c r="S189" t="b">
        <f t="shared" si="20"/>
        <v>1</v>
      </c>
      <c r="T189" t="b">
        <f t="shared" si="21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22"/>
        <v>0</v>
      </c>
      <c r="J190" t="str">
        <f t="shared" si="23"/>
        <v>1</v>
      </c>
      <c r="K190" t="str">
        <f t="shared" si="24"/>
        <v>234</v>
      </c>
      <c r="L190" t="b">
        <f t="shared" si="25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18"/>
        <v>1</v>
      </c>
      <c r="R190" t="b">
        <f t="shared" si="19"/>
        <v>1</v>
      </c>
      <c r="S190" t="b">
        <f t="shared" si="20"/>
        <v>1</v>
      </c>
      <c r="T190" t="b">
        <f t="shared" si="21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22"/>
        <v>0</v>
      </c>
      <c r="J191" s="2" t="str">
        <f t="shared" si="23"/>
        <v>12</v>
      </c>
      <c r="K191" s="2" t="str">
        <f t="shared" si="24"/>
        <v>3</v>
      </c>
      <c r="L191" s="2" t="b">
        <f t="shared" si="25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30">getText(I191)=getText(M191)</f>
        <v>1</v>
      </c>
      <c r="R191" s="2" t="b">
        <f t="shared" ref="R191:R199" si="31">getText(J191)=getText(N191)</f>
        <v>1</v>
      </c>
      <c r="S191" s="2" t="b">
        <f t="shared" ref="S191:S199" si="32">getText(K191)=getText(O191)</f>
        <v>1</v>
      </c>
      <c r="T191" s="2" t="b">
        <f t="shared" ref="T191:T199" si="33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22"/>
        <v>0</v>
      </c>
      <c r="J192" t="str">
        <f t="shared" si="23"/>
        <v>12</v>
      </c>
      <c r="K192" t="str">
        <f t="shared" si="24"/>
        <v>34</v>
      </c>
      <c r="L192" t="b">
        <f t="shared" si="25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30"/>
        <v>1</v>
      </c>
      <c r="R192" t="b">
        <f t="shared" si="31"/>
        <v>1</v>
      </c>
      <c r="S192" t="b">
        <f t="shared" si="32"/>
        <v>1</v>
      </c>
      <c r="T192" t="b">
        <f t="shared" si="33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22"/>
        <v>0</v>
      </c>
      <c r="J193" t="str">
        <f t="shared" si="23"/>
        <v>12</v>
      </c>
      <c r="K193" t="str">
        <f t="shared" si="24"/>
        <v>345</v>
      </c>
      <c r="L193" t="b">
        <f t="shared" si="25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30"/>
        <v>1</v>
      </c>
      <c r="R193" t="b">
        <f t="shared" si="31"/>
        <v>1</v>
      </c>
      <c r="S193" t="b">
        <f t="shared" si="32"/>
        <v>1</v>
      </c>
      <c r="T193" t="b">
        <f t="shared" si="33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22"/>
        <v>0</v>
      </c>
      <c r="J194" s="2" t="str">
        <f t="shared" si="23"/>
        <v>123</v>
      </c>
      <c r="K194" s="2" t="str">
        <f t="shared" si="24"/>
        <v>4</v>
      </c>
      <c r="L194" s="2" t="b">
        <f t="shared" si="25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30"/>
        <v>1</v>
      </c>
      <c r="R194" s="2" t="b">
        <f t="shared" si="31"/>
        <v>1</v>
      </c>
      <c r="S194" s="2" t="b">
        <f t="shared" si="32"/>
        <v>1</v>
      </c>
      <c r="T194" s="2" t="b">
        <f t="shared" si="33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22"/>
        <v>0</v>
      </c>
      <c r="J195" t="str">
        <f t="shared" si="23"/>
        <v>123</v>
      </c>
      <c r="K195" t="str">
        <f t="shared" si="24"/>
        <v>45</v>
      </c>
      <c r="L195" t="b">
        <f t="shared" si="25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30"/>
        <v>1</v>
      </c>
      <c r="R195" t="b">
        <f t="shared" si="31"/>
        <v>1</v>
      </c>
      <c r="S195" t="b">
        <f t="shared" si="32"/>
        <v>1</v>
      </c>
      <c r="T195" t="b">
        <f t="shared" si="33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22"/>
        <v>0</v>
      </c>
      <c r="J196" t="str">
        <f t="shared" si="23"/>
        <v>123</v>
      </c>
      <c r="K196" t="str">
        <f t="shared" si="24"/>
        <v>456</v>
      </c>
      <c r="L196" t="b">
        <f t="shared" si="25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30"/>
        <v>1</v>
      </c>
      <c r="R196" t="b">
        <f t="shared" si="31"/>
        <v>1</v>
      </c>
      <c r="S196" t="b">
        <f t="shared" si="32"/>
        <v>1</v>
      </c>
      <c r="T196" t="b">
        <f t="shared" si="33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22"/>
        <v>0</v>
      </c>
      <c r="J197" s="2" t="str">
        <f t="shared" si="23"/>
        <v>1</v>
      </c>
      <c r="K197" s="2" t="str">
        <f t="shared" si="24"/>
        <v>2</v>
      </c>
      <c r="L197" s="2" t="b">
        <f t="shared" si="25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30"/>
        <v>1</v>
      </c>
      <c r="R197" s="2" t="b">
        <f t="shared" si="31"/>
        <v>1</v>
      </c>
      <c r="S197" s="2" t="b">
        <f t="shared" si="32"/>
        <v>1</v>
      </c>
      <c r="T197" s="2" t="b">
        <f t="shared" si="33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22"/>
        <v>0</v>
      </c>
      <c r="J198" t="str">
        <f t="shared" si="23"/>
        <v>1</v>
      </c>
      <c r="K198" t="str">
        <f t="shared" si="24"/>
        <v>23</v>
      </c>
      <c r="L198" t="b">
        <f t="shared" si="25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30"/>
        <v>1</v>
      </c>
      <c r="R198" t="b">
        <f t="shared" si="31"/>
        <v>1</v>
      </c>
      <c r="S198" t="b">
        <f t="shared" si="32"/>
        <v>1</v>
      </c>
      <c r="T198" t="b">
        <f t="shared" si="33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22"/>
        <v>0</v>
      </c>
      <c r="J199" t="str">
        <f t="shared" si="23"/>
        <v>1</v>
      </c>
      <c r="K199" t="str">
        <f t="shared" si="24"/>
        <v>234</v>
      </c>
      <c r="L199" t="b">
        <f t="shared" si="25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30"/>
        <v>1</v>
      </c>
      <c r="R199" t="b">
        <f t="shared" si="31"/>
        <v>1</v>
      </c>
      <c r="S199" t="b">
        <f t="shared" si="32"/>
        <v>1</v>
      </c>
      <c r="T199" t="b">
        <f t="shared" si="33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22"/>
        <v>0</v>
      </c>
      <c r="J200" s="2" t="str">
        <f t="shared" si="23"/>
        <v>12</v>
      </c>
      <c r="K200" s="2" t="str">
        <f t="shared" si="24"/>
        <v>3</v>
      </c>
      <c r="L200" s="2" t="b">
        <f t="shared" si="25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34">getText(I200)=getText(M200)</f>
        <v>1</v>
      </c>
      <c r="R200" s="2" t="b">
        <f t="shared" ref="R200:R205" si="35">getText(J200)=getText(N200)</f>
        <v>1</v>
      </c>
      <c r="S200" s="2" t="b">
        <f t="shared" ref="S200:S205" si="36">getText(K200)=getText(O200)</f>
        <v>1</v>
      </c>
      <c r="T200" s="2" t="b">
        <f t="shared" ref="T200:T205" si="37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22"/>
        <v>0</v>
      </c>
      <c r="J201" t="str">
        <f t="shared" si="23"/>
        <v>12</v>
      </c>
      <c r="K201" t="str">
        <f t="shared" si="24"/>
        <v>34</v>
      </c>
      <c r="L201" t="b">
        <f t="shared" si="25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34"/>
        <v>1</v>
      </c>
      <c r="R201" t="b">
        <f t="shared" si="35"/>
        <v>1</v>
      </c>
      <c r="S201" t="b">
        <f t="shared" si="36"/>
        <v>1</v>
      </c>
      <c r="T201" t="b">
        <f t="shared" si="37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22"/>
        <v>0</v>
      </c>
      <c r="J202" t="str">
        <f t="shared" si="23"/>
        <v>12</v>
      </c>
      <c r="K202" t="str">
        <f t="shared" si="24"/>
        <v>345</v>
      </c>
      <c r="L202" t="b">
        <f t="shared" si="25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34"/>
        <v>1</v>
      </c>
      <c r="R202" t="b">
        <f t="shared" si="35"/>
        <v>1</v>
      </c>
      <c r="S202" t="b">
        <f t="shared" si="36"/>
        <v>1</v>
      </c>
      <c r="T202" t="b">
        <f t="shared" si="37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22"/>
        <v>0</v>
      </c>
      <c r="J203" s="2" t="str">
        <f t="shared" si="23"/>
        <v>123</v>
      </c>
      <c r="K203" s="2" t="str">
        <f t="shared" si="24"/>
        <v>4</v>
      </c>
      <c r="L203" s="2" t="b">
        <f t="shared" si="25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34"/>
        <v>1</v>
      </c>
      <c r="R203" s="2" t="b">
        <f t="shared" si="35"/>
        <v>1</v>
      </c>
      <c r="S203" s="2" t="b">
        <f t="shared" si="36"/>
        <v>1</v>
      </c>
      <c r="T203" s="2" t="b">
        <f t="shared" si="37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22"/>
        <v>0</v>
      </c>
      <c r="J204" t="str">
        <f t="shared" si="23"/>
        <v>123</v>
      </c>
      <c r="K204" t="str">
        <f t="shared" si="24"/>
        <v>45</v>
      </c>
      <c r="L204" t="b">
        <f t="shared" si="25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34"/>
        <v>1</v>
      </c>
      <c r="R204" t="b">
        <f t="shared" si="35"/>
        <v>1</v>
      </c>
      <c r="S204" t="b">
        <f t="shared" si="36"/>
        <v>1</v>
      </c>
      <c r="T204" t="b">
        <f t="shared" si="37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22"/>
        <v>0</v>
      </c>
      <c r="J205" t="str">
        <f t="shared" si="23"/>
        <v>123</v>
      </c>
      <c r="K205" t="str">
        <f t="shared" si="24"/>
        <v>456</v>
      </c>
      <c r="L205" t="b">
        <f t="shared" si="25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34"/>
        <v>1</v>
      </c>
      <c r="R205" t="b">
        <f t="shared" si="35"/>
        <v>1</v>
      </c>
      <c r="S205" t="b">
        <f t="shared" si="36"/>
        <v>1</v>
      </c>
      <c r="T205" t="b">
        <f t="shared" si="37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38">TESTseparateToIntAndFrc(E206,F206,G206)</f>
        <v>0</v>
      </c>
      <c r="J206" s="2" t="str">
        <f t="shared" ref="J206:J209" si="39">TESTseparateToIntAndFrcByRef1(E206,F206,G206)</f>
        <v>001</v>
      </c>
      <c r="K206" s="2" t="str">
        <f t="shared" ref="K206:K209" si="40">TESTseparateToIntAndFrcByRef2(E206,F206,G206)</f>
        <v>100</v>
      </c>
      <c r="L206" s="2" t="b">
        <f t="shared" ref="L206:L209" si="41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42">getText(I206)=getText(M206)</f>
        <v>1</v>
      </c>
      <c r="R206" s="2" t="b">
        <f t="shared" ref="R206:R210" si="43">getText(J206)=getText(N206)</f>
        <v>1</v>
      </c>
      <c r="S206" s="2" t="b">
        <f t="shared" ref="S206:S210" si="44">getText(K206)=getText(O206)</f>
        <v>1</v>
      </c>
      <c r="T206" s="2" t="b">
        <f t="shared" ref="T206:T210" si="45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38"/>
        <v>0</v>
      </c>
      <c r="J207" t="str">
        <f t="shared" si="39"/>
        <v>1</v>
      </c>
      <c r="K207" t="str">
        <f t="shared" si="40"/>
        <v>1</v>
      </c>
      <c r="L207" t="b">
        <f t="shared" si="41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42"/>
        <v>1</v>
      </c>
      <c r="R207" t="b">
        <f t="shared" si="43"/>
        <v>1</v>
      </c>
      <c r="S207" t="b">
        <f t="shared" si="44"/>
        <v>1</v>
      </c>
      <c r="T207" t="b">
        <f t="shared" si="45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38"/>
        <v>0</v>
      </c>
      <c r="J208" t="str">
        <f t="shared" si="39"/>
        <v>0</v>
      </c>
      <c r="K208" t="str">
        <f t="shared" si="40"/>
        <v>1</v>
      </c>
      <c r="L208" t="b">
        <f t="shared" si="41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42"/>
        <v>1</v>
      </c>
      <c r="R208" t="b">
        <f t="shared" si="43"/>
        <v>1</v>
      </c>
      <c r="S208" t="b">
        <f t="shared" si="44"/>
        <v>1</v>
      </c>
      <c r="T208" t="b">
        <f t="shared" si="45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38"/>
        <v>0</v>
      </c>
      <c r="J209" t="str">
        <f t="shared" si="39"/>
        <v>1</v>
      </c>
      <c r="K209" t="str">
        <f t="shared" si="40"/>
        <v/>
      </c>
      <c r="L209" t="b">
        <f t="shared" si="41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42"/>
        <v>1</v>
      </c>
      <c r="R209" t="b">
        <f t="shared" si="43"/>
        <v>1</v>
      </c>
      <c r="S209" t="b">
        <f t="shared" si="44"/>
        <v>1</v>
      </c>
      <c r="T209" t="b">
        <f t="shared" si="45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46">TESTseparateToIntAndFrc(E210,F210,G210)</f>
        <v>0</v>
      </c>
      <c r="J210" t="str">
        <f t="shared" ref="J210" si="47">TESTseparateToIntAndFrcByRef1(E210,F210,G210)</f>
        <v>0</v>
      </c>
      <c r="K210" t="str">
        <f t="shared" ref="K210" si="48">TESTseparateToIntAndFrcByRef2(E210,F210,G210)</f>
        <v/>
      </c>
      <c r="L210" t="b">
        <f t="shared" ref="L210" si="49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42"/>
        <v>1</v>
      </c>
      <c r="R210" t="b">
        <f t="shared" si="43"/>
        <v>1</v>
      </c>
      <c r="S210" t="b">
        <f t="shared" si="44"/>
        <v>1</v>
      </c>
      <c r="T210" t="b">
        <f t="shared" si="45"/>
        <v>1</v>
      </c>
    </row>
    <row r="211" spans="1:20" s="2" customFormat="1" x14ac:dyDescent="0.15">
      <c r="A211" s="2" t="s">
        <v>898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50">TESTcheckBaseNNumber(E211,F211)</f>
        <v>0</v>
      </c>
      <c r="J211" s="2" t="b">
        <f t="shared" ref="J211:J242" si="51">TESTcheckBaseNNumberByRef1(E211,F211)</f>
        <v>0</v>
      </c>
      <c r="K211" s="2">
        <f t="shared" ref="K211:K242" si="52">TESTcheckBaseNNumberByRef2(E211,F211)</f>
        <v>0</v>
      </c>
      <c r="L211" s="2" t="e">
        <f t="shared" ref="L211:L242" si="53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54">getText(I211)=getText(M211)</f>
        <v>1</v>
      </c>
      <c r="R211" s="2" t="b">
        <f t="shared" si="54"/>
        <v>1</v>
      </c>
      <c r="S211" s="2" t="b">
        <f t="shared" ref="S211:T215" si="55">getText(K211)=getText(O211)</f>
        <v>1</v>
      </c>
      <c r="T211" s="2" t="b">
        <f t="shared" si="55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50"/>
        <v>2</v>
      </c>
      <c r="J212" t="b">
        <f t="shared" si="51"/>
        <v>0</v>
      </c>
      <c r="K212">
        <f t="shared" si="52"/>
        <v>0</v>
      </c>
      <c r="L212">
        <f t="shared" si="53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4"/>
        <v>1</v>
      </c>
      <c r="R212" t="b">
        <f t="shared" si="54"/>
        <v>1</v>
      </c>
      <c r="S212" t="b">
        <f t="shared" si="55"/>
        <v>1</v>
      </c>
      <c r="T212" t="b">
        <f t="shared" si="55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50"/>
        <v>2</v>
      </c>
      <c r="J213" t="b">
        <f t="shared" si="51"/>
        <v>0</v>
      </c>
      <c r="K213">
        <f t="shared" si="52"/>
        <v>0</v>
      </c>
      <c r="L213">
        <f t="shared" si="53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4"/>
        <v>1</v>
      </c>
      <c r="R213" t="b">
        <f t="shared" si="54"/>
        <v>1</v>
      </c>
      <c r="S213" t="b">
        <f t="shared" si="55"/>
        <v>1</v>
      </c>
      <c r="T213" t="b">
        <f t="shared" si="55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50"/>
        <v>2</v>
      </c>
      <c r="J214" t="b">
        <f t="shared" si="51"/>
        <v>0</v>
      </c>
      <c r="K214">
        <f t="shared" si="52"/>
        <v>0</v>
      </c>
      <c r="L214">
        <f t="shared" si="53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54"/>
        <v>1</v>
      </c>
      <c r="R214" t="b">
        <f t="shared" si="54"/>
        <v>1</v>
      </c>
      <c r="S214" t="b">
        <f t="shared" si="55"/>
        <v>1</v>
      </c>
      <c r="T214" t="b">
        <f t="shared" si="55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50"/>
        <v>0</v>
      </c>
      <c r="J215" t="b">
        <f t="shared" si="51"/>
        <v>0</v>
      </c>
      <c r="K215">
        <f t="shared" si="52"/>
        <v>0</v>
      </c>
      <c r="L215" t="e">
        <f t="shared" si="53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54"/>
        <v>1</v>
      </c>
      <c r="R215" t="b">
        <f t="shared" si="54"/>
        <v>1</v>
      </c>
      <c r="S215" t="b">
        <f t="shared" si="55"/>
        <v>1</v>
      </c>
      <c r="T215" t="b">
        <f t="shared" si="55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50"/>
        <v>0</v>
      </c>
      <c r="J216" s="2" t="b">
        <f t="shared" si="51"/>
        <v>0</v>
      </c>
      <c r="K216" s="2">
        <f t="shared" si="52"/>
        <v>0</v>
      </c>
      <c r="L216" s="2" t="e">
        <f t="shared" si="53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56">getText(I216)=getText(M216)</f>
        <v>1</v>
      </c>
      <c r="R216" s="2" t="b">
        <f t="shared" ref="R216" si="57">getText(J216)=getText(N216)</f>
        <v>1</v>
      </c>
      <c r="S216" s="2" t="b">
        <f t="shared" ref="S216:T216" si="58">getText(K216)=getText(O216)</f>
        <v>1</v>
      </c>
      <c r="T216" s="2" t="b">
        <f t="shared" si="58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50"/>
        <v>2</v>
      </c>
      <c r="J217" s="2" t="b">
        <f t="shared" si="51"/>
        <v>0</v>
      </c>
      <c r="K217" s="2">
        <f t="shared" si="52"/>
        <v>0</v>
      </c>
      <c r="L217" s="2">
        <f t="shared" si="53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59">getText(I217)=getText(M217)</f>
        <v>1</v>
      </c>
      <c r="R217" s="2" t="b">
        <f t="shared" ref="R217" si="60">getText(J217)=getText(N217)</f>
        <v>1</v>
      </c>
      <c r="S217" s="2" t="b">
        <f t="shared" ref="S217:T217" si="61">getText(K217)=getText(O217)</f>
        <v>1</v>
      </c>
      <c r="T217" s="2" t="b">
        <f t="shared" si="61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50"/>
        <v>2</v>
      </c>
      <c r="J218" s="6" t="b">
        <f t="shared" si="51"/>
        <v>0</v>
      </c>
      <c r="K218" s="6">
        <f t="shared" si="52"/>
        <v>0</v>
      </c>
      <c r="L218" s="6">
        <f t="shared" si="53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62">getText(I218)=getText(M218)</f>
        <v>1</v>
      </c>
      <c r="R218" s="6" t="b">
        <f t="shared" ref="R218:R233" si="63">getText(J218)=getText(N218)</f>
        <v>1</v>
      </c>
      <c r="S218" s="6" t="b">
        <f t="shared" ref="S218:S233" si="64">getText(K218)=getText(O218)</f>
        <v>1</v>
      </c>
      <c r="T218" s="6" t="b">
        <f t="shared" ref="T218:T233" si="65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50"/>
        <v>2</v>
      </c>
      <c r="J219" t="b">
        <f t="shared" si="51"/>
        <v>0</v>
      </c>
      <c r="K219">
        <f t="shared" si="52"/>
        <v>0</v>
      </c>
      <c r="L219">
        <f t="shared" si="53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2"/>
        <v>1</v>
      </c>
      <c r="R219" t="b">
        <f t="shared" si="63"/>
        <v>1</v>
      </c>
      <c r="S219" t="b">
        <f t="shared" si="64"/>
        <v>1</v>
      </c>
      <c r="T219" t="b">
        <f t="shared" si="65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50"/>
        <v>2</v>
      </c>
      <c r="J220" t="b">
        <f t="shared" si="51"/>
        <v>0</v>
      </c>
      <c r="K220">
        <f t="shared" si="52"/>
        <v>0</v>
      </c>
      <c r="L220">
        <f t="shared" si="53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2"/>
        <v>1</v>
      </c>
      <c r="R220" t="b">
        <f t="shared" si="63"/>
        <v>1</v>
      </c>
      <c r="S220" t="b">
        <f t="shared" si="64"/>
        <v>1</v>
      </c>
      <c r="T220" t="b">
        <f t="shared" si="65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50"/>
        <v>2</v>
      </c>
      <c r="J221" t="b">
        <f t="shared" si="51"/>
        <v>0</v>
      </c>
      <c r="K221">
        <f t="shared" si="52"/>
        <v>0</v>
      </c>
      <c r="L221">
        <f t="shared" si="53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62"/>
        <v>1</v>
      </c>
      <c r="R221" t="b">
        <f t="shared" si="63"/>
        <v>1</v>
      </c>
      <c r="S221" t="b">
        <f t="shared" si="64"/>
        <v>1</v>
      </c>
      <c r="T221" t="b">
        <f t="shared" si="65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50"/>
        <v>2</v>
      </c>
      <c r="J222" s="2" t="b">
        <f t="shared" si="51"/>
        <v>0</v>
      </c>
      <c r="K222" s="2">
        <f t="shared" si="52"/>
        <v>0</v>
      </c>
      <c r="L222" s="2">
        <f t="shared" si="53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62"/>
        <v>1</v>
      </c>
      <c r="R222" s="2" t="b">
        <f t="shared" si="63"/>
        <v>1</v>
      </c>
      <c r="S222" s="2" t="b">
        <f t="shared" si="64"/>
        <v>1</v>
      </c>
      <c r="T222" s="2" t="b">
        <f t="shared" si="65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50"/>
        <v>2</v>
      </c>
      <c r="J223" s="6" t="b">
        <f t="shared" si="51"/>
        <v>0</v>
      </c>
      <c r="K223" s="6">
        <f t="shared" si="52"/>
        <v>0</v>
      </c>
      <c r="L223" s="6">
        <f t="shared" si="53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62"/>
        <v>1</v>
      </c>
      <c r="R223" s="6" t="b">
        <f t="shared" si="63"/>
        <v>1</v>
      </c>
      <c r="S223" s="6" t="b">
        <f t="shared" si="64"/>
        <v>1</v>
      </c>
      <c r="T223" s="6" t="b">
        <f t="shared" si="65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50"/>
        <v>2</v>
      </c>
      <c r="J224" t="b">
        <f t="shared" si="51"/>
        <v>0</v>
      </c>
      <c r="K224">
        <f t="shared" si="52"/>
        <v>0</v>
      </c>
      <c r="L224">
        <f t="shared" si="53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2"/>
        <v>1</v>
      </c>
      <c r="R224" t="b">
        <f t="shared" si="63"/>
        <v>1</v>
      </c>
      <c r="S224" t="b">
        <f t="shared" si="64"/>
        <v>1</v>
      </c>
      <c r="T224" t="b">
        <f t="shared" si="65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50"/>
        <v>2</v>
      </c>
      <c r="J225" t="b">
        <f t="shared" si="51"/>
        <v>0</v>
      </c>
      <c r="K225">
        <f t="shared" si="52"/>
        <v>0</v>
      </c>
      <c r="L225">
        <f t="shared" si="53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2"/>
        <v>1</v>
      </c>
      <c r="R225" t="b">
        <f t="shared" si="63"/>
        <v>1</v>
      </c>
      <c r="S225" t="b">
        <f t="shared" si="64"/>
        <v>1</v>
      </c>
      <c r="T225" t="b">
        <f t="shared" si="65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50"/>
        <v>2</v>
      </c>
      <c r="J226" t="b">
        <f t="shared" si="51"/>
        <v>0</v>
      </c>
      <c r="K226">
        <f t="shared" si="52"/>
        <v>0</v>
      </c>
      <c r="L226">
        <f t="shared" si="53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62"/>
        <v>1</v>
      </c>
      <c r="R226" t="b">
        <f t="shared" si="63"/>
        <v>1</v>
      </c>
      <c r="S226" t="b">
        <f t="shared" si="64"/>
        <v>1</v>
      </c>
      <c r="T226" t="b">
        <f t="shared" si="65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50"/>
        <v>1</v>
      </c>
      <c r="J227" s="2" t="b">
        <f t="shared" si="51"/>
        <v>0</v>
      </c>
      <c r="K227" s="2">
        <f t="shared" si="52"/>
        <v>0</v>
      </c>
      <c r="L227" s="2" t="e">
        <f t="shared" si="53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62"/>
        <v>1</v>
      </c>
      <c r="R227" s="2" t="b">
        <f t="shared" si="63"/>
        <v>1</v>
      </c>
      <c r="S227" s="2" t="b">
        <f t="shared" si="64"/>
        <v>1</v>
      </c>
      <c r="T227" s="2" t="b">
        <f t="shared" si="65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50"/>
        <v>1</v>
      </c>
      <c r="J228" s="6" t="b">
        <f t="shared" si="51"/>
        <v>0</v>
      </c>
      <c r="K228" s="6">
        <f t="shared" si="52"/>
        <v>0</v>
      </c>
      <c r="L228" s="6" t="e">
        <f t="shared" si="53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62"/>
        <v>1</v>
      </c>
      <c r="R228" s="6" t="b">
        <f t="shared" si="63"/>
        <v>1</v>
      </c>
      <c r="S228" s="6" t="b">
        <f t="shared" si="64"/>
        <v>1</v>
      </c>
      <c r="T228" s="6" t="b">
        <f t="shared" si="65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50"/>
        <v>1</v>
      </c>
      <c r="J229" t="b">
        <f t="shared" si="51"/>
        <v>0</v>
      </c>
      <c r="K229">
        <f t="shared" si="52"/>
        <v>0</v>
      </c>
      <c r="L229" t="e">
        <f t="shared" si="53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2"/>
        <v>1</v>
      </c>
      <c r="R229" t="b">
        <f t="shared" si="63"/>
        <v>1</v>
      </c>
      <c r="S229" t="b">
        <f t="shared" si="64"/>
        <v>1</v>
      </c>
      <c r="T229" t="b">
        <f t="shared" si="65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50"/>
        <v>1</v>
      </c>
      <c r="J230" t="b">
        <f t="shared" si="51"/>
        <v>0</v>
      </c>
      <c r="K230">
        <f t="shared" si="52"/>
        <v>0</v>
      </c>
      <c r="L230" t="e">
        <f t="shared" si="53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2"/>
        <v>1</v>
      </c>
      <c r="R230" t="b">
        <f t="shared" si="63"/>
        <v>1</v>
      </c>
      <c r="S230" t="b">
        <f t="shared" si="64"/>
        <v>1</v>
      </c>
      <c r="T230" t="b">
        <f t="shared" si="65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50"/>
        <v>1</v>
      </c>
      <c r="J231" t="b">
        <f t="shared" si="51"/>
        <v>0</v>
      </c>
      <c r="K231">
        <f t="shared" si="52"/>
        <v>0</v>
      </c>
      <c r="L231" t="e">
        <f t="shared" si="53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62"/>
        <v>1</v>
      </c>
      <c r="R231" t="b">
        <f t="shared" si="63"/>
        <v>1</v>
      </c>
      <c r="S231" t="b">
        <f t="shared" si="64"/>
        <v>1</v>
      </c>
      <c r="T231" t="b">
        <f t="shared" si="65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50"/>
        <v>2</v>
      </c>
      <c r="J232" s="2" t="b">
        <f t="shared" si="51"/>
        <v>0</v>
      </c>
      <c r="K232" s="2">
        <f t="shared" si="52"/>
        <v>0</v>
      </c>
      <c r="L232" s="2" t="e">
        <f t="shared" si="53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62"/>
        <v>1</v>
      </c>
      <c r="R232" s="2" t="b">
        <f t="shared" si="63"/>
        <v>1</v>
      </c>
      <c r="S232" s="2" t="b">
        <f t="shared" si="64"/>
        <v>1</v>
      </c>
      <c r="T232" s="2" t="b">
        <f t="shared" si="65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50"/>
        <v>2</v>
      </c>
      <c r="J233" t="b">
        <f t="shared" si="51"/>
        <v>0</v>
      </c>
      <c r="K233">
        <f t="shared" si="52"/>
        <v>0</v>
      </c>
      <c r="L233" t="e">
        <f t="shared" si="53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62"/>
        <v>1</v>
      </c>
      <c r="R233" t="b">
        <f t="shared" si="63"/>
        <v>1</v>
      </c>
      <c r="S233" t="b">
        <f t="shared" si="64"/>
        <v>1</v>
      </c>
      <c r="T233" t="b">
        <f t="shared" si="65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50"/>
        <v>2</v>
      </c>
      <c r="J234" t="b">
        <f t="shared" si="51"/>
        <v>0</v>
      </c>
      <c r="K234">
        <f t="shared" si="52"/>
        <v>0</v>
      </c>
      <c r="L234" t="e">
        <f t="shared" si="53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66">getText(I234)=getText(M234)</f>
        <v>1</v>
      </c>
      <c r="R234" t="b">
        <f t="shared" ref="R234:R242" si="67">getText(J234)=getText(N234)</f>
        <v>1</v>
      </c>
      <c r="S234" t="b">
        <f t="shared" ref="S234:S242" si="68">getText(K234)=getText(O234)</f>
        <v>1</v>
      </c>
      <c r="T234" t="b">
        <f t="shared" ref="T234:T242" si="69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50"/>
        <v>2</v>
      </c>
      <c r="J235" t="b">
        <f t="shared" si="51"/>
        <v>0</v>
      </c>
      <c r="K235">
        <f t="shared" si="52"/>
        <v>0</v>
      </c>
      <c r="L235" t="e">
        <f t="shared" si="53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6"/>
        <v>1</v>
      </c>
      <c r="R235" t="b">
        <f t="shared" si="67"/>
        <v>1</v>
      </c>
      <c r="S235" t="b">
        <f t="shared" si="68"/>
        <v>1</v>
      </c>
      <c r="T235" t="b">
        <f t="shared" si="69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50"/>
        <v>2</v>
      </c>
      <c r="J236" t="b">
        <f t="shared" si="51"/>
        <v>0</v>
      </c>
      <c r="K236">
        <f t="shared" si="52"/>
        <v>0</v>
      </c>
      <c r="L236" t="e">
        <f t="shared" si="53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66"/>
        <v>1</v>
      </c>
      <c r="R236" t="b">
        <f t="shared" si="67"/>
        <v>1</v>
      </c>
      <c r="S236" t="b">
        <f t="shared" si="68"/>
        <v>1</v>
      </c>
      <c r="T236" t="b">
        <f t="shared" si="69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50"/>
        <v>3</v>
      </c>
      <c r="J237" s="2" t="b">
        <f t="shared" si="51"/>
        <v>0</v>
      </c>
      <c r="K237" s="2">
        <f t="shared" si="52"/>
        <v>0</v>
      </c>
      <c r="L237" s="2" t="e">
        <f t="shared" si="53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66"/>
        <v>1</v>
      </c>
      <c r="R237" s="2" t="b">
        <f t="shared" si="67"/>
        <v>1</v>
      </c>
      <c r="S237" s="2" t="b">
        <f t="shared" si="68"/>
        <v>1</v>
      </c>
      <c r="T237" s="2" t="b">
        <f t="shared" si="69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50"/>
        <v>3</v>
      </c>
      <c r="J238" t="b">
        <f t="shared" si="51"/>
        <v>0</v>
      </c>
      <c r="K238">
        <f t="shared" si="52"/>
        <v>0</v>
      </c>
      <c r="L238" t="e">
        <f t="shared" si="53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6"/>
        <v>1</v>
      </c>
      <c r="R238" t="b">
        <f t="shared" si="67"/>
        <v>1</v>
      </c>
      <c r="S238" t="b">
        <f t="shared" si="68"/>
        <v>1</v>
      </c>
      <c r="T238" t="b">
        <f t="shared" si="69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50"/>
        <v>3</v>
      </c>
      <c r="J239" t="b">
        <f t="shared" si="51"/>
        <v>0</v>
      </c>
      <c r="K239">
        <f t="shared" si="52"/>
        <v>0</v>
      </c>
      <c r="L239" t="e">
        <f t="shared" si="53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6"/>
        <v>1</v>
      </c>
      <c r="R239" t="b">
        <f t="shared" si="67"/>
        <v>1</v>
      </c>
      <c r="S239" t="b">
        <f t="shared" si="68"/>
        <v>1</v>
      </c>
      <c r="T239" t="b">
        <f t="shared" si="69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50"/>
        <v>3</v>
      </c>
      <c r="J240" t="b">
        <f t="shared" si="51"/>
        <v>0</v>
      </c>
      <c r="K240">
        <f t="shared" si="52"/>
        <v>0</v>
      </c>
      <c r="L240" t="e">
        <f t="shared" si="53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6"/>
        <v>1</v>
      </c>
      <c r="R240" t="b">
        <f t="shared" si="67"/>
        <v>1</v>
      </c>
      <c r="S240" t="b">
        <f t="shared" si="68"/>
        <v>1</v>
      </c>
      <c r="T240" t="b">
        <f t="shared" si="69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50"/>
        <v>3</v>
      </c>
      <c r="J241" t="b">
        <f t="shared" si="51"/>
        <v>0</v>
      </c>
      <c r="K241">
        <f t="shared" si="52"/>
        <v>0</v>
      </c>
      <c r="L241" t="e">
        <f t="shared" si="53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66"/>
        <v>1</v>
      </c>
      <c r="R241" t="b">
        <f t="shared" si="67"/>
        <v>1</v>
      </c>
      <c r="S241" t="b">
        <f t="shared" si="68"/>
        <v>1</v>
      </c>
      <c r="T241" t="b">
        <f t="shared" si="69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50"/>
        <v>5</v>
      </c>
      <c r="J242" s="2" t="b">
        <f t="shared" si="51"/>
        <v>0</v>
      </c>
      <c r="K242" s="2">
        <f t="shared" si="52"/>
        <v>0</v>
      </c>
      <c r="L242" s="2" t="e">
        <f t="shared" si="53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66"/>
        <v>1</v>
      </c>
      <c r="R242" s="2" t="b">
        <f t="shared" si="67"/>
        <v>1</v>
      </c>
      <c r="S242" s="2" t="b">
        <f t="shared" si="68"/>
        <v>1</v>
      </c>
      <c r="T242" s="2" t="b">
        <f t="shared" si="69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70">TESTcheckBaseNNumber(E243,F243)</f>
        <v>5</v>
      </c>
      <c r="J243" t="b">
        <f t="shared" ref="J243:J263" si="71">TESTcheckBaseNNumberByRef1(E243,F243)</f>
        <v>0</v>
      </c>
      <c r="K243">
        <f t="shared" ref="K243:K263" si="72">TESTcheckBaseNNumberByRef2(E243,F243)</f>
        <v>0</v>
      </c>
      <c r="L243" t="e">
        <f t="shared" ref="L243:L263" si="73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74">getText(I243)=getText(M243)</f>
        <v>1</v>
      </c>
      <c r="R243" t="b">
        <f t="shared" ref="R243:R247" si="75">getText(J243)=getText(N243)</f>
        <v>1</v>
      </c>
      <c r="S243" t="b">
        <f t="shared" ref="S243:S247" si="76">getText(K243)=getText(O243)</f>
        <v>1</v>
      </c>
      <c r="T243" t="b">
        <f t="shared" ref="T243:T247" si="77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70"/>
        <v>5</v>
      </c>
      <c r="J244" t="b">
        <f t="shared" si="71"/>
        <v>0</v>
      </c>
      <c r="K244">
        <f t="shared" si="72"/>
        <v>0</v>
      </c>
      <c r="L244" t="e">
        <f t="shared" si="73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4"/>
        <v>1</v>
      </c>
      <c r="R244" t="b">
        <f t="shared" si="75"/>
        <v>1</v>
      </c>
      <c r="S244" t="b">
        <f t="shared" si="76"/>
        <v>1</v>
      </c>
      <c r="T244" t="b">
        <f t="shared" si="77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70"/>
        <v>5</v>
      </c>
      <c r="J245" t="b">
        <f t="shared" si="71"/>
        <v>0</v>
      </c>
      <c r="K245">
        <f t="shared" si="72"/>
        <v>0</v>
      </c>
      <c r="L245" t="e">
        <f t="shared" si="73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4"/>
        <v>1</v>
      </c>
      <c r="R245" t="b">
        <f t="shared" si="75"/>
        <v>1</v>
      </c>
      <c r="S245" t="b">
        <f t="shared" si="76"/>
        <v>1</v>
      </c>
      <c r="T245" t="b">
        <f t="shared" si="77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70"/>
        <v>5</v>
      </c>
      <c r="J246" t="b">
        <f t="shared" si="71"/>
        <v>0</v>
      </c>
      <c r="K246">
        <f t="shared" si="72"/>
        <v>0</v>
      </c>
      <c r="L246" t="e">
        <f t="shared" si="73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74"/>
        <v>1</v>
      </c>
      <c r="R246" t="b">
        <f t="shared" si="75"/>
        <v>1</v>
      </c>
      <c r="S246" t="b">
        <f t="shared" si="76"/>
        <v>1</v>
      </c>
      <c r="T246" t="b">
        <f t="shared" si="77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70"/>
        <v>3</v>
      </c>
      <c r="J247" s="2" t="b">
        <f t="shared" si="71"/>
        <v>0</v>
      </c>
      <c r="K247" s="2">
        <f t="shared" si="72"/>
        <v>0</v>
      </c>
      <c r="L247" s="2">
        <f t="shared" si="73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74"/>
        <v>1</v>
      </c>
      <c r="R247" s="2" t="b">
        <f t="shared" si="75"/>
        <v>1</v>
      </c>
      <c r="S247" s="2" t="b">
        <f t="shared" si="76"/>
        <v>1</v>
      </c>
      <c r="T247" s="2" t="b">
        <f t="shared" si="77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70"/>
        <v>11</v>
      </c>
      <c r="J248" t="b">
        <f t="shared" si="71"/>
        <v>0</v>
      </c>
      <c r="K248">
        <f t="shared" si="72"/>
        <v>0</v>
      </c>
      <c r="L248">
        <f t="shared" si="73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78">getText(I248)=getText(M248)</f>
        <v>1</v>
      </c>
      <c r="R248" t="b">
        <f t="shared" ref="R248:R251" si="79">getText(J248)=getText(N248)</f>
        <v>1</v>
      </c>
      <c r="S248" t="b">
        <f t="shared" ref="S248:S251" si="80">getText(K248)=getText(O248)</f>
        <v>1</v>
      </c>
      <c r="T248" t="b">
        <f t="shared" ref="T248:T251" si="81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70"/>
        <v>12</v>
      </c>
      <c r="J249" t="b">
        <f t="shared" si="71"/>
        <v>0</v>
      </c>
      <c r="K249">
        <f t="shared" si="72"/>
        <v>0</v>
      </c>
      <c r="L249">
        <f t="shared" si="73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78"/>
        <v>1</v>
      </c>
      <c r="R249" t="b">
        <f t="shared" si="79"/>
        <v>1</v>
      </c>
      <c r="S249" t="b">
        <f t="shared" si="80"/>
        <v>1</v>
      </c>
      <c r="T249" t="b">
        <f t="shared" si="81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70"/>
        <v>13</v>
      </c>
      <c r="J250" t="b">
        <f t="shared" si="71"/>
        <v>0</v>
      </c>
      <c r="K250">
        <f t="shared" si="72"/>
        <v>0</v>
      </c>
      <c r="L250">
        <f t="shared" si="73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78"/>
        <v>1</v>
      </c>
      <c r="R250" t="b">
        <f t="shared" si="79"/>
        <v>1</v>
      </c>
      <c r="S250" t="b">
        <f t="shared" si="80"/>
        <v>1</v>
      </c>
      <c r="T250" t="b">
        <f t="shared" si="81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70"/>
        <v>18</v>
      </c>
      <c r="J251" t="b">
        <f t="shared" si="71"/>
        <v>0</v>
      </c>
      <c r="K251">
        <f t="shared" si="72"/>
        <v>0</v>
      </c>
      <c r="L251">
        <f t="shared" si="73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78"/>
        <v>1</v>
      </c>
      <c r="R251" t="b">
        <f t="shared" si="79"/>
        <v>1</v>
      </c>
      <c r="S251" t="b">
        <f t="shared" si="80"/>
        <v>1</v>
      </c>
      <c r="T251" t="b">
        <f t="shared" si="81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70"/>
        <v>3</v>
      </c>
      <c r="J252" s="2" t="b">
        <f t="shared" si="71"/>
        <v>1</v>
      </c>
      <c r="K252" s="2">
        <f t="shared" si="72"/>
        <v>0</v>
      </c>
      <c r="L252" s="2">
        <f t="shared" si="73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82">getText(I252)=getText(M252)</f>
        <v>1</v>
      </c>
      <c r="R252" s="2" t="b">
        <f t="shared" ref="R252:R253" si="83">getText(J252)=getText(N252)</f>
        <v>1</v>
      </c>
      <c r="S252" s="2" t="b">
        <f t="shared" ref="S252:S253" si="84">getText(K252)=getText(O252)</f>
        <v>1</v>
      </c>
      <c r="T252" s="2" t="b">
        <f t="shared" ref="T252:T253" si="85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70"/>
        <v>2</v>
      </c>
      <c r="J253" t="b">
        <f t="shared" si="71"/>
        <v>0</v>
      </c>
      <c r="K253">
        <f t="shared" si="72"/>
        <v>0</v>
      </c>
      <c r="L253" t="e">
        <f t="shared" si="73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82"/>
        <v>1</v>
      </c>
      <c r="R253" t="b">
        <f t="shared" si="83"/>
        <v>1</v>
      </c>
      <c r="S253" t="b">
        <f t="shared" si="84"/>
        <v>1</v>
      </c>
      <c r="T253" t="b">
        <f t="shared" si="85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70"/>
        <v>1</v>
      </c>
      <c r="J254" s="2" t="b">
        <f t="shared" si="71"/>
        <v>0</v>
      </c>
      <c r="K254" s="2">
        <f t="shared" si="72"/>
        <v>0</v>
      </c>
      <c r="L254" s="2" t="e">
        <f t="shared" si="73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86">getText(I254)=getText(M254)</f>
        <v>1</v>
      </c>
      <c r="R254" s="2" t="b">
        <f t="shared" ref="R254" si="87">getText(J254)=getText(N254)</f>
        <v>1</v>
      </c>
      <c r="S254" s="2" t="b">
        <f t="shared" ref="S254" si="88">getText(K254)=getText(O254)</f>
        <v>1</v>
      </c>
      <c r="T254" s="2" t="b">
        <f t="shared" ref="T254" si="89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70"/>
        <v>2</v>
      </c>
      <c r="J255" s="6" t="b">
        <f t="shared" si="71"/>
        <v>1</v>
      </c>
      <c r="K255" s="6">
        <f t="shared" si="72"/>
        <v>0</v>
      </c>
      <c r="L255" s="6" t="e">
        <f t="shared" si="73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90">getText(I255)=getText(M255)</f>
        <v>1</v>
      </c>
      <c r="R255" s="6" t="b">
        <f t="shared" ref="R255:R263" si="91">getText(J255)=getText(N255)</f>
        <v>1</v>
      </c>
      <c r="S255" s="6" t="b">
        <f t="shared" ref="S255:S263" si="92">getText(K255)=getText(O255)</f>
        <v>1</v>
      </c>
      <c r="T255" s="6" t="b">
        <f t="shared" ref="T255:T263" si="93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70"/>
        <v>4</v>
      </c>
      <c r="J256" s="6" t="b">
        <f t="shared" si="71"/>
        <v>0</v>
      </c>
      <c r="K256" s="6">
        <f t="shared" si="72"/>
        <v>2</v>
      </c>
      <c r="L256" s="6">
        <f t="shared" si="73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90"/>
        <v>1</v>
      </c>
      <c r="R256" s="6" t="b">
        <f t="shared" si="91"/>
        <v>1</v>
      </c>
      <c r="S256" s="6" t="b">
        <f t="shared" si="92"/>
        <v>1</v>
      </c>
      <c r="T256" s="6" t="b">
        <f t="shared" si="93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70"/>
        <v>5</v>
      </c>
      <c r="J257" s="6" t="b">
        <f t="shared" si="71"/>
        <v>1</v>
      </c>
      <c r="K257" s="6">
        <f t="shared" si="72"/>
        <v>3</v>
      </c>
      <c r="L257" s="6">
        <f t="shared" si="73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90"/>
        <v>1</v>
      </c>
      <c r="R257" s="6" t="b">
        <f t="shared" si="91"/>
        <v>1</v>
      </c>
      <c r="S257" s="6" t="b">
        <f t="shared" si="92"/>
        <v>1</v>
      </c>
      <c r="T257" s="6" t="b">
        <f t="shared" si="93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70"/>
        <v>3</v>
      </c>
      <c r="J258" s="6" t="b">
        <f t="shared" si="71"/>
        <v>0</v>
      </c>
      <c r="K258" s="6">
        <f t="shared" si="72"/>
        <v>0</v>
      </c>
      <c r="L258" s="6" t="e">
        <f t="shared" si="73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90"/>
        <v>1</v>
      </c>
      <c r="R258" s="6" t="b">
        <f t="shared" si="91"/>
        <v>1</v>
      </c>
      <c r="S258" s="6" t="b">
        <f t="shared" si="92"/>
        <v>1</v>
      </c>
      <c r="T258" s="6" t="b">
        <f t="shared" si="93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70"/>
        <v>4</v>
      </c>
      <c r="J259" s="6" t="b">
        <f t="shared" si="71"/>
        <v>1</v>
      </c>
      <c r="K259" s="6">
        <f t="shared" si="72"/>
        <v>0</v>
      </c>
      <c r="L259" s="6" t="e">
        <f t="shared" si="73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90"/>
        <v>1</v>
      </c>
      <c r="R259" s="6" t="b">
        <f t="shared" si="91"/>
        <v>1</v>
      </c>
      <c r="S259" s="6" t="b">
        <f t="shared" si="92"/>
        <v>1</v>
      </c>
      <c r="T259" s="6" t="b">
        <f t="shared" si="93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70"/>
        <v>7</v>
      </c>
      <c r="J260" s="6" t="b">
        <f t="shared" si="71"/>
        <v>0</v>
      </c>
      <c r="K260" s="6">
        <f t="shared" si="72"/>
        <v>5</v>
      </c>
      <c r="L260" s="6">
        <f t="shared" si="73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90"/>
        <v>1</v>
      </c>
      <c r="R260" s="6" t="b">
        <f t="shared" si="91"/>
        <v>1</v>
      </c>
      <c r="S260" s="6" t="b">
        <f t="shared" si="92"/>
        <v>1</v>
      </c>
      <c r="T260" s="6" t="b">
        <f t="shared" si="93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70"/>
        <v>8</v>
      </c>
      <c r="J261" s="6" t="b">
        <f t="shared" si="71"/>
        <v>1</v>
      </c>
      <c r="K261" s="6">
        <f t="shared" si="72"/>
        <v>6</v>
      </c>
      <c r="L261" s="6">
        <f t="shared" si="73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90"/>
        <v>1</v>
      </c>
      <c r="R261" s="6" t="b">
        <f t="shared" si="91"/>
        <v>1</v>
      </c>
      <c r="S261" s="6" t="b">
        <f t="shared" si="92"/>
        <v>1</v>
      </c>
      <c r="T261" s="6" t="b">
        <f t="shared" si="93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70"/>
        <v>9</v>
      </c>
      <c r="J262" s="6" t="b">
        <f t="shared" si="71"/>
        <v>0</v>
      </c>
      <c r="K262" s="6">
        <f t="shared" si="72"/>
        <v>0</v>
      </c>
      <c r="L262" s="6" t="e">
        <f t="shared" si="73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90"/>
        <v>1</v>
      </c>
      <c r="R262" s="6" t="b">
        <f t="shared" si="91"/>
        <v>1</v>
      </c>
      <c r="S262" s="6" t="b">
        <f t="shared" si="92"/>
        <v>1</v>
      </c>
      <c r="T262" s="6" t="b">
        <f t="shared" si="93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70"/>
        <v>10</v>
      </c>
      <c r="J263" s="6" t="b">
        <f t="shared" si="71"/>
        <v>1</v>
      </c>
      <c r="K263" s="6">
        <f t="shared" si="72"/>
        <v>0</v>
      </c>
      <c r="L263" s="6" t="e">
        <f t="shared" si="73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90"/>
        <v>1</v>
      </c>
      <c r="R263" s="6" t="b">
        <f t="shared" si="91"/>
        <v>1</v>
      </c>
      <c r="S263" s="6" t="b">
        <f t="shared" si="92"/>
        <v>1</v>
      </c>
      <c r="T263" s="6" t="b">
        <f t="shared" si="93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94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95">TESTadd(E265,F265,G265)</f>
        <v>00</v>
      </c>
      <c r="M265" s="1" t="s">
        <v>97</v>
      </c>
      <c r="Q265" s="1" t="b">
        <f t="shared" si="94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95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95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94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96">TESTadd(E268,F268,G268)</f>
        <v>10</v>
      </c>
      <c r="M268" s="1" t="s">
        <v>15</v>
      </c>
      <c r="Q268" s="1" t="b">
        <f t="shared" ref="Q268:Q269" si="97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96"/>
        <v>10</v>
      </c>
      <c r="M269" s="1" t="s">
        <v>15</v>
      </c>
      <c r="Q269" s="1" t="b">
        <f t="shared" si="97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98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99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100">TESTadd(E271,F271,G271)</f>
        <v>100</v>
      </c>
      <c r="M271" s="1" t="s">
        <v>21</v>
      </c>
      <c r="Q271" s="1" t="b">
        <f t="shared" si="99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101">TESTadd(E272,F272,G272)</f>
        <v>100</v>
      </c>
      <c r="M272" s="1" t="s">
        <v>21</v>
      </c>
      <c r="Q272" s="1" t="b">
        <f t="shared" si="99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102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103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104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103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104"/>
        <v>1000</v>
      </c>
      <c r="M275" s="1" t="s">
        <v>34</v>
      </c>
      <c r="Q275" s="1" t="b">
        <f t="shared" si="103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105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106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105"/>
        <v>0</v>
      </c>
      <c r="M277" s="1" t="s">
        <v>14</v>
      </c>
      <c r="Q277" s="1" t="b">
        <f t="shared" si="106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105"/>
        <v>0</v>
      </c>
      <c r="M278" s="1" t="s">
        <v>14</v>
      </c>
      <c r="Q278" s="1" t="b">
        <f t="shared" si="106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105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107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105"/>
        <v>9</v>
      </c>
      <c r="M280" s="1" t="s">
        <v>100</v>
      </c>
      <c r="Q280" s="1" t="b">
        <f t="shared" si="107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105"/>
        <v>F</v>
      </c>
      <c r="M281" s="1" t="s">
        <v>98</v>
      </c>
      <c r="Q281" s="1" t="b">
        <f t="shared" si="107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105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107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105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107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105"/>
        <v>F</v>
      </c>
      <c r="M284" s="1" t="s">
        <v>98</v>
      </c>
      <c r="Q284" s="1" t="b">
        <f t="shared" si="107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105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107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105"/>
        <v>18</v>
      </c>
      <c r="M286" s="1" t="s">
        <v>238</v>
      </c>
      <c r="Q286" s="1" t="b">
        <f t="shared" ref="Q286:Q289" si="108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09">TESTadd(E287,F287,G287)</f>
        <v>10</v>
      </c>
      <c r="M287" s="1" t="s">
        <v>15</v>
      </c>
      <c r="Q287" s="1" t="b">
        <f t="shared" si="108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09"/>
        <v>1E</v>
      </c>
      <c r="M288" s="1" t="s">
        <v>239</v>
      </c>
      <c r="Q288" s="1" t="b">
        <f t="shared" si="108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09"/>
        <v>10</v>
      </c>
      <c r="M289" s="1" t="s">
        <v>15</v>
      </c>
      <c r="Q289" s="1" t="b">
        <f t="shared" si="108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10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11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12">TESTadd(E291,F291,G291)</f>
        <v>09</v>
      </c>
      <c r="M291" s="1" t="s">
        <v>233</v>
      </c>
      <c r="Q291" s="1" t="b">
        <f t="shared" si="111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13">TESTadd(E292,F292,G292)</f>
        <v>0F</v>
      </c>
      <c r="M292" s="1" t="s">
        <v>236</v>
      </c>
      <c r="Q292" s="1" t="b">
        <f t="shared" si="111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14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15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16">TESTadd(E294,F294,G294)</f>
        <v>18</v>
      </c>
      <c r="M294" s="1" t="s">
        <v>238</v>
      </c>
      <c r="Q294" s="1" t="b">
        <f t="shared" si="115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17">TESTadd(E295,F295,G295)</f>
        <v>1E</v>
      </c>
      <c r="M295" s="1" t="s">
        <v>239</v>
      </c>
      <c r="Q295" s="1" t="b">
        <f t="shared" si="115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18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19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18"/>
        <v>99</v>
      </c>
      <c r="M297" s="1" t="s">
        <v>211</v>
      </c>
      <c r="Q297" s="1" t="b">
        <f t="shared" si="119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18"/>
        <v>FF</v>
      </c>
      <c r="M298" s="1" t="s">
        <v>22</v>
      </c>
      <c r="Q298" s="1" t="b">
        <f t="shared" si="119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20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21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20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21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20"/>
        <v>10E</v>
      </c>
      <c r="M301" s="1" t="s">
        <v>247</v>
      </c>
      <c r="Q301" s="1" t="b">
        <f t="shared" si="121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22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23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22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23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22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23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24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25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24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25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24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25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26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27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26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27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26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27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28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29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28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29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28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29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29"/>
        <v>1</v>
      </c>
      <c r="R314" s="2" t="b">
        <f t="shared" ref="R314:R337" si="130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31">TESTsubtract(E315,F315,G315)</f>
        <v>00</v>
      </c>
      <c r="J315" s="6" t="b">
        <f t="shared" ref="J315:J316" si="132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29"/>
        <v>1</v>
      </c>
      <c r="R315" s="6" t="b">
        <f t="shared" si="130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31"/>
        <v>00</v>
      </c>
      <c r="J316" s="6" t="b">
        <f t="shared" si="132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29"/>
        <v>1</v>
      </c>
      <c r="R316" s="6" t="b">
        <f t="shared" si="130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33">TESTsubtract(E317,F317,G317)</f>
        <v>0</v>
      </c>
      <c r="J317" s="2" t="b">
        <f t="shared" ref="J317" si="134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29"/>
        <v>1</v>
      </c>
      <c r="R317" s="2" t="b">
        <f t="shared" si="130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35">TESTsubtract(E318,F318,G318)</f>
        <v>0</v>
      </c>
      <c r="J318" s="6" t="b">
        <f t="shared" ref="J318" si="136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29"/>
        <v>1</v>
      </c>
      <c r="R318" s="6" t="b">
        <f t="shared" si="130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37">TESTsubtract(E319,F319,G319)</f>
        <v>0</v>
      </c>
      <c r="J319" s="6" t="b">
        <f t="shared" ref="J319:J322" si="138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29"/>
        <v>1</v>
      </c>
      <c r="R319" s="6" t="b">
        <f t="shared" si="130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37"/>
        <v>01</v>
      </c>
      <c r="J320" s="2" t="b">
        <f t="shared" si="138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29"/>
        <v>1</v>
      </c>
      <c r="R320" s="2" t="b">
        <f t="shared" si="130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37"/>
        <v>09</v>
      </c>
      <c r="J321" s="6" t="b">
        <f t="shared" si="138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29"/>
        <v>1</v>
      </c>
      <c r="R321" s="6" t="b">
        <f t="shared" si="130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37"/>
        <v>0F</v>
      </c>
      <c r="J322" s="6" t="b">
        <f t="shared" si="138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29"/>
        <v>1</v>
      </c>
      <c r="R322" s="6" t="b">
        <f t="shared" si="130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39">TESTsubtract(E323,F323,G323)</f>
        <v>011</v>
      </c>
      <c r="J323" s="2" t="b">
        <f t="shared" ref="J323:J325" si="140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29"/>
        <v>1</v>
      </c>
      <c r="R323" s="2" t="b">
        <f t="shared" si="130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39"/>
        <v>099</v>
      </c>
      <c r="J324" s="6" t="b">
        <f t="shared" si="140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29"/>
        <v>1</v>
      </c>
      <c r="R324" s="6" t="b">
        <f t="shared" si="130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39"/>
        <v>0FF</v>
      </c>
      <c r="J325" s="6" t="b">
        <f t="shared" si="140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29"/>
        <v>1</v>
      </c>
      <c r="R325" s="6" t="b">
        <f t="shared" si="130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41">TESTsubtract(E326,F326,G326)</f>
        <v>100</v>
      </c>
      <c r="J326" s="2" t="b">
        <f t="shared" ref="J326:J334" si="142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29"/>
        <v>1</v>
      </c>
      <c r="R326" s="2" t="b">
        <f t="shared" si="130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41"/>
        <v>100</v>
      </c>
      <c r="J327" s="6" t="b">
        <f t="shared" si="142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29"/>
        <v>1</v>
      </c>
      <c r="R327" s="6" t="b">
        <f t="shared" si="130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41"/>
        <v>100</v>
      </c>
      <c r="J328" s="6" t="b">
        <f t="shared" si="142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29"/>
        <v>1</v>
      </c>
      <c r="R328" s="6" t="b">
        <f t="shared" si="130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41"/>
        <v>100</v>
      </c>
      <c r="J329" s="2" t="b">
        <f t="shared" si="142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29"/>
        <v>1</v>
      </c>
      <c r="R329" s="2" t="b">
        <f t="shared" si="130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41"/>
        <v>100</v>
      </c>
      <c r="J330" s="6" t="b">
        <f t="shared" si="142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29"/>
        <v>1</v>
      </c>
      <c r="R330" s="6" t="b">
        <f t="shared" si="130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41"/>
        <v>100</v>
      </c>
      <c r="J331" s="6" t="b">
        <f t="shared" si="142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29"/>
        <v>1</v>
      </c>
      <c r="R331" s="6" t="b">
        <f t="shared" si="130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41"/>
        <v>001</v>
      </c>
      <c r="J332" s="2" t="b">
        <f t="shared" si="142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29"/>
        <v>1</v>
      </c>
      <c r="R332" s="2" t="b">
        <f t="shared" si="130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41"/>
        <v>001</v>
      </c>
      <c r="J333" s="6" t="b">
        <f t="shared" si="142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29"/>
        <v>1</v>
      </c>
      <c r="R333" s="6" t="b">
        <f t="shared" si="130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41"/>
        <v>001</v>
      </c>
      <c r="J334" s="6" t="b">
        <f t="shared" si="142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29"/>
        <v>1</v>
      </c>
      <c r="R334" s="6" t="b">
        <f t="shared" si="130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43">TESTsubtract(E335,F335,G335)</f>
        <v>001</v>
      </c>
      <c r="J335" s="2" t="b">
        <f t="shared" ref="J335:J337" si="144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29"/>
        <v>1</v>
      </c>
      <c r="R335" s="2" t="b">
        <f t="shared" si="130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43"/>
        <v>001</v>
      </c>
      <c r="J336" s="6" t="b">
        <f t="shared" si="144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29"/>
        <v>1</v>
      </c>
      <c r="R336" s="6" t="b">
        <f t="shared" si="130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43"/>
        <v>001</v>
      </c>
      <c r="J337" s="6" t="b">
        <f t="shared" si="144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29"/>
        <v>1</v>
      </c>
      <c r="R337" s="6" t="b">
        <f t="shared" si="130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45">TESTsubtract(E338,F338,G338)</f>
        <v>00001</v>
      </c>
      <c r="J338" s="2" t="b">
        <f t="shared" ref="J338:J340" si="146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47">getText(I338)=getText(M338)</f>
        <v>1</v>
      </c>
      <c r="R338" s="2" t="b">
        <f t="shared" ref="R338:R340" si="148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45"/>
        <v>00001</v>
      </c>
      <c r="J339" s="6" t="b">
        <f t="shared" si="146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47"/>
        <v>1</v>
      </c>
      <c r="R339" s="6" t="b">
        <f t="shared" si="148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45"/>
        <v>00001</v>
      </c>
      <c r="J340" s="6" t="b">
        <f t="shared" si="146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47"/>
        <v>1</v>
      </c>
      <c r="R340" s="6" t="b">
        <f t="shared" si="148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49">TESTsubtract(E341,F341,G341)</f>
        <v>00001</v>
      </c>
      <c r="J341" s="2" t="b">
        <f t="shared" ref="J341:J343" si="150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51">getText(I341)=getText(M341)</f>
        <v>1</v>
      </c>
      <c r="R341" s="2" t="b">
        <f t="shared" ref="R341:R343" si="152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49"/>
        <v>00001</v>
      </c>
      <c r="J342" s="6" t="b">
        <f t="shared" si="150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1"/>
        <v>1</v>
      </c>
      <c r="R342" s="6" t="b">
        <f t="shared" si="152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49"/>
        <v>00001</v>
      </c>
      <c r="J343" s="6" t="b">
        <f t="shared" si="150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51"/>
        <v>1</v>
      </c>
      <c r="R343" s="6" t="b">
        <f t="shared" si="152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53">TESTsubtract(E344,F344,G344)</f>
        <v>00</v>
      </c>
      <c r="J344" s="2" t="b">
        <f t="shared" ref="J344:J357" si="154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55">getText(I344)=getText(M344)</f>
        <v>1</v>
      </c>
      <c r="R344" s="2" t="b">
        <f t="shared" ref="R344:R357" si="156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53"/>
        <v>00</v>
      </c>
      <c r="J345" t="b">
        <f t="shared" si="154"/>
        <v>0</v>
      </c>
      <c r="M345" s="1" t="s">
        <v>97</v>
      </c>
      <c r="N345" t="b">
        <v>0</v>
      </c>
      <c r="Q345" s="1" t="b">
        <f t="shared" si="155"/>
        <v>1</v>
      </c>
      <c r="R345" s="6" t="b">
        <f t="shared" si="156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53"/>
        <v>00</v>
      </c>
      <c r="J346" t="b">
        <f t="shared" si="154"/>
        <v>0</v>
      </c>
      <c r="M346" s="1" t="s">
        <v>97</v>
      </c>
      <c r="N346" t="b">
        <v>0</v>
      </c>
      <c r="Q346" s="1" t="b">
        <f t="shared" si="155"/>
        <v>1</v>
      </c>
      <c r="R346" s="6" t="b">
        <f t="shared" si="156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53"/>
        <v>01</v>
      </c>
      <c r="J347" s="2" t="b">
        <f t="shared" si="154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55"/>
        <v>1</v>
      </c>
      <c r="R347" s="2" t="b">
        <f t="shared" si="156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53"/>
        <v>09</v>
      </c>
      <c r="J348" t="b">
        <f t="shared" si="154"/>
        <v>0</v>
      </c>
      <c r="M348" s="1" t="s">
        <v>233</v>
      </c>
      <c r="N348" t="b">
        <v>0</v>
      </c>
      <c r="Q348" s="1" t="b">
        <f t="shared" si="155"/>
        <v>1</v>
      </c>
      <c r="R348" s="6" t="b">
        <f t="shared" si="156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53"/>
        <v>0F</v>
      </c>
      <c r="J349" t="b">
        <f t="shared" si="154"/>
        <v>0</v>
      </c>
      <c r="M349" s="1" t="s">
        <v>236</v>
      </c>
      <c r="N349" t="b">
        <v>0</v>
      </c>
      <c r="Q349" s="1" t="b">
        <f t="shared" si="155"/>
        <v>1</v>
      </c>
      <c r="R349" s="6" t="b">
        <f t="shared" si="156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53"/>
        <v>1</v>
      </c>
      <c r="J350" s="2" t="b">
        <f t="shared" si="154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55"/>
        <v>1</v>
      </c>
      <c r="R350" s="2" t="b">
        <f t="shared" si="156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53"/>
        <v>1</v>
      </c>
      <c r="J351" s="6" t="b">
        <f t="shared" si="154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55"/>
        <v>1</v>
      </c>
      <c r="R351" s="6" t="b">
        <f t="shared" si="156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53"/>
        <v>1</v>
      </c>
      <c r="J352" t="b">
        <f t="shared" si="154"/>
        <v>0</v>
      </c>
      <c r="M352" s="1" t="s">
        <v>44</v>
      </c>
      <c r="N352" t="b">
        <v>0</v>
      </c>
      <c r="Q352" s="1" t="b">
        <f t="shared" si="155"/>
        <v>1</v>
      </c>
      <c r="R352" s="6" t="b">
        <f t="shared" si="156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53"/>
        <v>0</v>
      </c>
      <c r="J353" s="2" t="b">
        <f t="shared" si="154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55"/>
        <v>1</v>
      </c>
      <c r="R353" s="2" t="b">
        <f t="shared" si="156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53"/>
        <v>0</v>
      </c>
      <c r="J354" t="b">
        <f t="shared" si="154"/>
        <v>0</v>
      </c>
      <c r="M354" s="1" t="s">
        <v>14</v>
      </c>
      <c r="N354" t="b">
        <v>0</v>
      </c>
      <c r="Q354" s="1" t="b">
        <f t="shared" si="155"/>
        <v>1</v>
      </c>
      <c r="R354" s="6" t="b">
        <f t="shared" si="156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53"/>
        <v>0</v>
      </c>
      <c r="J355" t="b">
        <f t="shared" si="154"/>
        <v>0</v>
      </c>
      <c r="M355" s="1" t="s">
        <v>14</v>
      </c>
      <c r="N355" t="b">
        <v>0</v>
      </c>
      <c r="Q355" s="1" t="b">
        <f t="shared" si="155"/>
        <v>1</v>
      </c>
      <c r="R355" s="6" t="b">
        <f t="shared" si="156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53"/>
        <v>0</v>
      </c>
      <c r="J356" t="b">
        <f t="shared" si="154"/>
        <v>0</v>
      </c>
      <c r="M356" s="1" t="s">
        <v>14</v>
      </c>
      <c r="N356" t="b">
        <v>0</v>
      </c>
      <c r="Q356" s="1" t="b">
        <f t="shared" si="155"/>
        <v>1</v>
      </c>
      <c r="R356" s="6" t="b">
        <f t="shared" si="156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53"/>
        <v>0</v>
      </c>
      <c r="J357" t="b">
        <f t="shared" si="154"/>
        <v>0</v>
      </c>
      <c r="M357" s="1" t="s">
        <v>14</v>
      </c>
      <c r="N357" t="b">
        <v>0</v>
      </c>
      <c r="Q357" s="1" t="b">
        <f t="shared" si="155"/>
        <v>1</v>
      </c>
      <c r="R357" s="6" t="b">
        <f t="shared" si="156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57">TESTsubtract(E358,F358,G358)</f>
        <v>0</v>
      </c>
      <c r="J358" s="2" t="b">
        <f t="shared" ref="J358:J360" si="158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59">getText(I358)=getText(M358)</f>
        <v>1</v>
      </c>
      <c r="R358" s="2" t="b">
        <f t="shared" ref="R358:R381" si="160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57"/>
        <v>0</v>
      </c>
      <c r="J359" s="6" t="b">
        <f t="shared" si="158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59"/>
        <v>1</v>
      </c>
      <c r="R359" s="6" t="b">
        <f t="shared" si="160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57"/>
        <v>0</v>
      </c>
      <c r="J360" s="6" t="b">
        <f t="shared" si="158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59"/>
        <v>1</v>
      </c>
      <c r="R360" s="6" t="b">
        <f t="shared" si="160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61">TESTsubtract(E361,F361,G361)</f>
        <v>011</v>
      </c>
      <c r="J361" s="2" t="b">
        <f t="shared" ref="J361:J381" si="162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59"/>
        <v>1</v>
      </c>
      <c r="R361" s="2" t="b">
        <f t="shared" si="160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61"/>
        <v>099</v>
      </c>
      <c r="J362" s="6" t="b">
        <f t="shared" si="162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59"/>
        <v>1</v>
      </c>
      <c r="R362" s="6" t="b">
        <f t="shared" si="160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61"/>
        <v>0FF</v>
      </c>
      <c r="J363" s="6" t="b">
        <f t="shared" si="162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59"/>
        <v>1</v>
      </c>
      <c r="R363" s="6" t="b">
        <f t="shared" si="160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61"/>
        <v>010</v>
      </c>
      <c r="J364" s="2" t="b">
        <f t="shared" si="162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59"/>
        <v>1</v>
      </c>
      <c r="R364" s="2" t="b">
        <f t="shared" si="160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61"/>
        <v>090</v>
      </c>
      <c r="J365" s="6" t="b">
        <f t="shared" si="162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59"/>
        <v>1</v>
      </c>
      <c r="R365" s="6" t="b">
        <f t="shared" si="160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61"/>
        <v>0F0</v>
      </c>
      <c r="J366" s="6" t="b">
        <f t="shared" si="162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61"/>
        <v>001</v>
      </c>
      <c r="J367" s="2" t="b">
        <f t="shared" si="162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59"/>
        <v>1</v>
      </c>
      <c r="R367" s="2" t="b">
        <f t="shared" si="160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61"/>
        <v>089</v>
      </c>
      <c r="J368" s="6" t="b">
        <f t="shared" si="162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59"/>
        <v>1</v>
      </c>
      <c r="R368" s="6" t="b">
        <f t="shared" si="160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61"/>
        <v>0EF</v>
      </c>
      <c r="J369" s="6" t="b">
        <f t="shared" si="162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59"/>
        <v>1</v>
      </c>
      <c r="R369" s="6" t="b">
        <f t="shared" si="160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61"/>
        <v>10</v>
      </c>
      <c r="J370" s="2" t="b">
        <f t="shared" si="162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59"/>
        <v>1</v>
      </c>
      <c r="R370" s="2" t="b">
        <f t="shared" si="160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61"/>
        <v>10</v>
      </c>
      <c r="J371" s="6" t="b">
        <f t="shared" si="162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59"/>
        <v>1</v>
      </c>
      <c r="R371" s="6" t="b">
        <f t="shared" si="160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61"/>
        <v>10</v>
      </c>
      <c r="J372" s="6" t="b">
        <f t="shared" si="162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59"/>
        <v>1</v>
      </c>
      <c r="R372" s="6" t="b">
        <f t="shared" si="160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61"/>
        <v>101</v>
      </c>
      <c r="J373" s="2" t="b">
        <f t="shared" si="162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59"/>
        <v>1</v>
      </c>
      <c r="R373" s="2" t="b">
        <f t="shared" si="160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61"/>
        <v>109</v>
      </c>
      <c r="J374" s="6" t="b">
        <f t="shared" si="162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59"/>
        <v>1</v>
      </c>
      <c r="R374" s="6" t="b">
        <f t="shared" si="160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61"/>
        <v>10F</v>
      </c>
      <c r="J375" s="6" t="b">
        <f t="shared" si="162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59"/>
        <v>1</v>
      </c>
      <c r="R375" s="6" t="b">
        <f t="shared" si="160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61"/>
        <v>00</v>
      </c>
      <c r="J376" s="2" t="b">
        <f t="shared" si="162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59"/>
        <v>1</v>
      </c>
      <c r="R376" s="2" t="b">
        <f t="shared" si="160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61"/>
        <v>00</v>
      </c>
      <c r="J377" s="6" t="b">
        <f t="shared" si="162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59"/>
        <v>1</v>
      </c>
      <c r="R377" s="6" t="b">
        <f t="shared" si="160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61"/>
        <v>00</v>
      </c>
      <c r="J378" s="6" t="b">
        <f t="shared" si="162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59"/>
        <v>1</v>
      </c>
      <c r="R378" s="6" t="b">
        <f t="shared" si="160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61"/>
        <v>011</v>
      </c>
      <c r="J379" s="2" t="b">
        <f t="shared" si="162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59"/>
        <v>1</v>
      </c>
      <c r="R379" s="2" t="b">
        <f t="shared" si="160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61"/>
        <v>099</v>
      </c>
      <c r="J380" s="6" t="b">
        <f t="shared" si="162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59"/>
        <v>1</v>
      </c>
      <c r="R380" s="6" t="b">
        <f t="shared" si="160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61"/>
        <v>0FF</v>
      </c>
      <c r="J381" s="6" t="b">
        <f t="shared" si="162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59"/>
        <v>1</v>
      </c>
      <c r="R381" s="6" t="b">
        <f t="shared" si="160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63">TESTsubtract(E382,F382,G382)</f>
        <v>1</v>
      </c>
      <c r="J382" s="2" t="b">
        <f t="shared" ref="J382:J384" si="164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65">getText(I382)=getText(M382)</f>
        <v>1</v>
      </c>
      <c r="R382" s="2" t="b">
        <f t="shared" ref="R382:R384" si="166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63"/>
        <v>1</v>
      </c>
      <c r="J383" s="6" t="b">
        <f t="shared" si="164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65"/>
        <v>1</v>
      </c>
      <c r="R383" s="6" t="b">
        <f t="shared" si="166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63"/>
        <v>1</v>
      </c>
      <c r="J384" s="6" t="b">
        <f t="shared" si="164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65"/>
        <v>1</v>
      </c>
      <c r="R384" s="35" t="b">
        <f t="shared" si="166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67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68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67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68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67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69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70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69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0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69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70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71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72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71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72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71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72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72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73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2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73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72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74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75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74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5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74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75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76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77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76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77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76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77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78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79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80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79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80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81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82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81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82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1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83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81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84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81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85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1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86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81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87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81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87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1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87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81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88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81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88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1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88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81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89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81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89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81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90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91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92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91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92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91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92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193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194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193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194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193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194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195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196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195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196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195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197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198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197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8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197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198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199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200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199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0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199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200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201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202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201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2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201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202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201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203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204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203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205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203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206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203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207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203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08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03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09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203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10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11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12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1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12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11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13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14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13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4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13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14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15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16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15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16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15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16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17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18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17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8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17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18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19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20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19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20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19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20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21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22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21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22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21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22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23">TESTdivide(E470,F470,G470,H470)</f>
        <v>0</v>
      </c>
      <c r="J470" s="2" t="str">
        <f t="shared" ref="J470:J478" si="224">TESTdivideByRef1(E470,F470,G470,H470)</f>
        <v>1</v>
      </c>
      <c r="K470" s="2">
        <f t="shared" ref="K470:K478" si="225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26">getText(I470)=getText(M470)</f>
        <v>1</v>
      </c>
      <c r="R470" s="2" t="b">
        <f t="shared" ref="R470" si="227">getText(J470)=getText(N470)</f>
        <v>1</v>
      </c>
      <c r="S470" s="2" t="b">
        <f t="shared" ref="S470" si="228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23"/>
        <v>0</v>
      </c>
      <c r="J471" t="str">
        <f t="shared" si="224"/>
        <v>1</v>
      </c>
      <c r="K471">
        <f t="shared" si="225"/>
        <v>0</v>
      </c>
      <c r="M471" s="1" t="s">
        <v>14</v>
      </c>
      <c r="N471" t="s">
        <v>44</v>
      </c>
      <c r="O471">
        <v>0</v>
      </c>
      <c r="Q471" s="1" t="b">
        <f t="shared" ref="Q471:Q475" si="229">getText(I471)=getText(M471)</f>
        <v>1</v>
      </c>
      <c r="R471" t="b">
        <f t="shared" ref="R471:R475" si="230">getText(J471)=getText(N471)</f>
        <v>1</v>
      </c>
      <c r="S471" t="b">
        <f t="shared" ref="S471:S475" si="231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23"/>
        <v>0</v>
      </c>
      <c r="J472" t="str">
        <f t="shared" si="224"/>
        <v>1</v>
      </c>
      <c r="K472">
        <f t="shared" si="225"/>
        <v>0</v>
      </c>
      <c r="M472" s="1" t="s">
        <v>14</v>
      </c>
      <c r="N472" t="s">
        <v>44</v>
      </c>
      <c r="O472">
        <v>0</v>
      </c>
      <c r="Q472" s="1" t="b">
        <f t="shared" si="229"/>
        <v>1</v>
      </c>
      <c r="R472" t="b">
        <f t="shared" si="230"/>
        <v>1</v>
      </c>
      <c r="S472" t="b">
        <f t="shared" si="231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23"/>
        <v/>
      </c>
      <c r="J473" s="2" t="str">
        <f t="shared" si="224"/>
        <v/>
      </c>
      <c r="K473" s="2" t="e">
        <f t="shared" si="225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29"/>
        <v>1</v>
      </c>
      <c r="R473" s="2" t="b">
        <f t="shared" si="230"/>
        <v>1</v>
      </c>
      <c r="S473" s="2" t="b">
        <f t="shared" si="231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23"/>
        <v/>
      </c>
      <c r="J474" t="str">
        <f t="shared" si="224"/>
        <v/>
      </c>
      <c r="K474" t="e">
        <f t="shared" si="225"/>
        <v>#NUM!</v>
      </c>
      <c r="M474" s="1" t="s">
        <v>45</v>
      </c>
      <c r="N474" t="s">
        <v>45</v>
      </c>
      <c r="O474" t="e">
        <v>#NUM!</v>
      </c>
      <c r="Q474" s="1" t="b">
        <f t="shared" si="229"/>
        <v>1</v>
      </c>
      <c r="R474" t="b">
        <f t="shared" si="230"/>
        <v>1</v>
      </c>
      <c r="S474" t="b">
        <f t="shared" si="231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23"/>
        <v/>
      </c>
      <c r="J475" t="str">
        <f t="shared" si="224"/>
        <v/>
      </c>
      <c r="K475" t="e">
        <f t="shared" si="225"/>
        <v>#NUM!</v>
      </c>
      <c r="M475" s="1" t="s">
        <v>45</v>
      </c>
      <c r="N475" t="s">
        <v>45</v>
      </c>
      <c r="O475" t="e">
        <v>#NUM!</v>
      </c>
      <c r="Q475" s="1" t="b">
        <f t="shared" si="229"/>
        <v>1</v>
      </c>
      <c r="R475" t="b">
        <f t="shared" si="230"/>
        <v>1</v>
      </c>
      <c r="S475" t="b">
        <f t="shared" si="231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23"/>
        <v/>
      </c>
      <c r="J476" s="2" t="str">
        <f t="shared" si="224"/>
        <v/>
      </c>
      <c r="K476" s="2" t="e">
        <f t="shared" si="225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32">getText(I476)=getText(M476)</f>
        <v>1</v>
      </c>
      <c r="R476" s="2" t="b">
        <f t="shared" ref="R476:R478" si="233">getText(J476)=getText(N476)</f>
        <v>1</v>
      </c>
      <c r="S476" s="2" t="b">
        <f t="shared" ref="S476:S478" si="234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23"/>
        <v/>
      </c>
      <c r="J477" s="6" t="str">
        <f t="shared" si="224"/>
        <v/>
      </c>
      <c r="K477" s="6" t="e">
        <f t="shared" si="225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2"/>
        <v>1</v>
      </c>
      <c r="R477" s="6" t="b">
        <f t="shared" si="233"/>
        <v>1</v>
      </c>
      <c r="S477" s="6" t="b">
        <f t="shared" si="234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23"/>
        <v/>
      </c>
      <c r="J478" s="6" t="str">
        <f t="shared" si="224"/>
        <v/>
      </c>
      <c r="K478" s="6" t="e">
        <f t="shared" si="225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32"/>
        <v>1</v>
      </c>
      <c r="R478" s="6" t="b">
        <f t="shared" si="233"/>
        <v>1</v>
      </c>
      <c r="S478" s="6" t="b">
        <f t="shared" si="234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35">TESTdivide(E479,F479,G479,H479)</f>
        <v>001000000000000000000000000000000000</v>
      </c>
      <c r="J479" s="2" t="str">
        <f t="shared" ref="J479:J481" si="236">TESTdivideByRef1(E479,F479,G479,H479)</f>
        <v/>
      </c>
      <c r="K479" s="2">
        <f t="shared" ref="K479:K481" si="237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38">getText(I479)=getText(M479)</f>
        <v>1</v>
      </c>
      <c r="R479" s="2" t="b">
        <f t="shared" ref="R479:R481" si="239">getText(J479)=getText(N479)</f>
        <v>1</v>
      </c>
      <c r="S479" s="2" t="b">
        <f t="shared" ref="S479:S481" si="240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35"/>
        <v>00214748364800</v>
      </c>
      <c r="J480" t="str">
        <f t="shared" si="236"/>
        <v/>
      </c>
      <c r="K480">
        <f t="shared" si="237"/>
        <v>0</v>
      </c>
      <c r="M480" s="21" t="s">
        <v>65</v>
      </c>
      <c r="O480">
        <v>0</v>
      </c>
      <c r="Q480" s="1" t="b">
        <f t="shared" si="238"/>
        <v>1</v>
      </c>
      <c r="R480" t="b">
        <f t="shared" si="239"/>
        <v>1</v>
      </c>
      <c r="S480" t="b">
        <f t="shared" si="240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35"/>
        <v>008000000000</v>
      </c>
      <c r="J481" t="str">
        <f t="shared" si="236"/>
        <v/>
      </c>
      <c r="K481">
        <f t="shared" si="237"/>
        <v>0</v>
      </c>
      <c r="M481" s="21" t="s">
        <v>67</v>
      </c>
      <c r="O481">
        <v>0</v>
      </c>
      <c r="Q481" s="1" t="b">
        <f t="shared" si="238"/>
        <v>1</v>
      </c>
      <c r="R481" t="b">
        <f t="shared" si="239"/>
        <v>1</v>
      </c>
      <c r="S481" t="b">
        <f t="shared" si="240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41">TESTdivide(E482,F482,G482,H482)</f>
        <v>0000000000000000000000000000001</v>
      </c>
      <c r="J482" s="2" t="str">
        <f t="shared" ref="J482" si="242">TESTdivideByRef1(E482,F482,G482,H482)</f>
        <v>0000000000000000000000000000000</v>
      </c>
      <c r="K482" s="2">
        <f t="shared" ref="K482" si="243">TESTdivideByRef2(E482,F482,G482,H482)</f>
        <v>0</v>
      </c>
      <c r="L482" s="2"/>
      <c r="M482" s="3" t="s">
        <v>107</v>
      </c>
      <c r="N482" s="2" t="s">
        <v>901</v>
      </c>
      <c r="O482" s="2">
        <v>0</v>
      </c>
      <c r="P482" s="2"/>
      <c r="Q482" s="3" t="b">
        <f t="shared" ref="Q482:Q484" si="244">getText(I482)=getText(M482)</f>
        <v>1</v>
      </c>
      <c r="R482" s="2" t="b">
        <f t="shared" ref="R482:R484" si="245">getText(J482)=getText(N482)</f>
        <v>1</v>
      </c>
      <c r="S482" s="2" t="b">
        <f t="shared" ref="S482:S484" si="246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47">TESTdivide(E483,F483,G483,H483)</f>
        <v>0000000001</v>
      </c>
      <c r="J483" t="str">
        <f t="shared" ref="J483:J484" si="248">TESTdivideByRef1(E483,F483,G483,H483)</f>
        <v>0000000000</v>
      </c>
      <c r="K483">
        <f t="shared" ref="K483:K484" si="249">TESTdivideByRef2(E483,F483,G483,H483)</f>
        <v>0</v>
      </c>
      <c r="M483" s="1" t="s">
        <v>108</v>
      </c>
      <c r="N483" t="s">
        <v>902</v>
      </c>
      <c r="O483">
        <v>0</v>
      </c>
      <c r="Q483" s="1" t="b">
        <f t="shared" si="244"/>
        <v>1</v>
      </c>
      <c r="R483" t="b">
        <f t="shared" si="245"/>
        <v>1</v>
      </c>
      <c r="S483" t="b">
        <f t="shared" si="246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47"/>
        <v>00000001</v>
      </c>
      <c r="J484" t="str">
        <f t="shared" si="248"/>
        <v>00000000</v>
      </c>
      <c r="K484">
        <f t="shared" si="249"/>
        <v>0</v>
      </c>
      <c r="M484" s="1" t="s">
        <v>109</v>
      </c>
      <c r="N484" t="s">
        <v>903</v>
      </c>
      <c r="O484">
        <v>0</v>
      </c>
      <c r="Q484" s="1" t="b">
        <f t="shared" si="244"/>
        <v>1</v>
      </c>
      <c r="R484" t="b">
        <f t="shared" si="245"/>
        <v>1</v>
      </c>
      <c r="S484" t="b">
        <f t="shared" si="246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50">TESTdivide(E485,F485,G485,H485)</f>
        <v/>
      </c>
      <c r="J485" s="2" t="str">
        <f t="shared" ref="J485:J490" si="251">TESTdivideByRef1(E485,F485,G485,H485)</f>
        <v/>
      </c>
      <c r="K485" s="2" t="e">
        <f t="shared" ref="K485:K490" si="252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53">getText(I485)=getText(M485)</f>
        <v>1</v>
      </c>
      <c r="R485" s="2" t="b">
        <f t="shared" ref="R485:R490" si="254">getText(J485)=getText(N485)</f>
        <v>1</v>
      </c>
      <c r="S485" s="2" t="b">
        <f t="shared" ref="S485:S490" si="255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50"/>
        <v/>
      </c>
      <c r="J486" t="str">
        <f t="shared" si="251"/>
        <v/>
      </c>
      <c r="K486" t="e">
        <f t="shared" si="252"/>
        <v>#NUM!</v>
      </c>
      <c r="M486" s="1" t="s">
        <v>45</v>
      </c>
      <c r="N486" t="s">
        <v>45</v>
      </c>
      <c r="O486" t="e">
        <v>#NUM!</v>
      </c>
      <c r="Q486" s="1" t="b">
        <f t="shared" si="253"/>
        <v>1</v>
      </c>
      <c r="R486" t="b">
        <f t="shared" si="254"/>
        <v>1</v>
      </c>
      <c r="S486" t="b">
        <f t="shared" si="255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50"/>
        <v/>
      </c>
      <c r="J487" t="str">
        <f t="shared" si="251"/>
        <v/>
      </c>
      <c r="K487" t="e">
        <f t="shared" si="252"/>
        <v>#NUM!</v>
      </c>
      <c r="M487" s="1" t="s">
        <v>45</v>
      </c>
      <c r="N487" t="s">
        <v>45</v>
      </c>
      <c r="O487" t="e">
        <v>#NUM!</v>
      </c>
      <c r="Q487" s="1" t="b">
        <f t="shared" si="253"/>
        <v>1</v>
      </c>
      <c r="R487" t="b">
        <f t="shared" si="254"/>
        <v>1</v>
      </c>
      <c r="S487" t="b">
        <f t="shared" si="255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50"/>
        <v>00000000000000000000000000000000100</v>
      </c>
      <c r="J488" s="2" t="str">
        <f t="shared" si="251"/>
        <v>00000000000000000000000000000000000</v>
      </c>
      <c r="K488" s="2">
        <f t="shared" si="252"/>
        <v>0</v>
      </c>
      <c r="L488" s="2"/>
      <c r="M488" s="3" t="s">
        <v>72</v>
      </c>
      <c r="N488" s="2" t="s">
        <v>904</v>
      </c>
      <c r="O488" s="2">
        <v>0</v>
      </c>
      <c r="P488" s="2"/>
      <c r="Q488" s="3" t="b">
        <f t="shared" si="253"/>
        <v>1</v>
      </c>
      <c r="R488" s="2" t="b">
        <f t="shared" si="254"/>
        <v>1</v>
      </c>
      <c r="S488" s="2" t="b">
        <f t="shared" si="255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50"/>
        <v>00000000000100</v>
      </c>
      <c r="J489" t="str">
        <f t="shared" si="251"/>
        <v>00000000000000</v>
      </c>
      <c r="K489">
        <f t="shared" si="252"/>
        <v>0</v>
      </c>
      <c r="M489" s="1" t="s">
        <v>73</v>
      </c>
      <c r="N489" t="s">
        <v>905</v>
      </c>
      <c r="O489">
        <v>0</v>
      </c>
      <c r="Q489" s="1" t="b">
        <f t="shared" si="253"/>
        <v>1</v>
      </c>
      <c r="R489" t="b">
        <f t="shared" si="254"/>
        <v>1</v>
      </c>
      <c r="S489" t="b">
        <f t="shared" si="255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50"/>
        <v>000000000100</v>
      </c>
      <c r="J490" t="str">
        <f t="shared" si="251"/>
        <v>000000000000</v>
      </c>
      <c r="K490">
        <f t="shared" si="252"/>
        <v>0</v>
      </c>
      <c r="M490" s="1" t="s">
        <v>74</v>
      </c>
      <c r="N490" t="s">
        <v>906</v>
      </c>
      <c r="O490">
        <v>0</v>
      </c>
      <c r="Q490" s="1" t="b">
        <f t="shared" si="253"/>
        <v>1</v>
      </c>
      <c r="R490" t="b">
        <f t="shared" si="254"/>
        <v>1</v>
      </c>
      <c r="S490" t="b">
        <f t="shared" si="255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56">TESTdivide(E491,F491,G491,H491)</f>
        <v>0</v>
      </c>
      <c r="J491" s="2" t="str">
        <f t="shared" ref="J491:J493" si="257">TESTdivideByRef1(E491,F491,G491,H491)</f>
        <v>1</v>
      </c>
      <c r="K491" s="2">
        <f t="shared" ref="K491:K493" si="258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59">getText(I491)=getText(M491)</f>
        <v>1</v>
      </c>
      <c r="R491" s="2" t="b">
        <f t="shared" ref="R491:R493" si="260">getText(J491)=getText(N491)</f>
        <v>1</v>
      </c>
      <c r="S491" s="2" t="b">
        <f t="shared" ref="S491:S493" si="261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56"/>
        <v>0</v>
      </c>
      <c r="J492" t="str">
        <f t="shared" si="257"/>
        <v>1</v>
      </c>
      <c r="K492">
        <f t="shared" si="258"/>
        <v>0</v>
      </c>
      <c r="M492" s="12">
        <v>0</v>
      </c>
      <c r="N492" t="s">
        <v>44</v>
      </c>
      <c r="O492">
        <v>0</v>
      </c>
      <c r="Q492" s="1" t="b">
        <f t="shared" si="259"/>
        <v>1</v>
      </c>
      <c r="R492" t="b">
        <f t="shared" si="260"/>
        <v>1</v>
      </c>
      <c r="S492" t="b">
        <f t="shared" si="261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56"/>
        <v>0</v>
      </c>
      <c r="J493" t="str">
        <f t="shared" si="257"/>
        <v>1</v>
      </c>
      <c r="K493">
        <f t="shared" si="258"/>
        <v>0</v>
      </c>
      <c r="M493" s="12">
        <v>0</v>
      </c>
      <c r="N493" t="s">
        <v>44</v>
      </c>
      <c r="O493">
        <v>0</v>
      </c>
      <c r="Q493" s="1" t="b">
        <f t="shared" si="259"/>
        <v>1</v>
      </c>
      <c r="R493" t="b">
        <f t="shared" si="260"/>
        <v>1</v>
      </c>
      <c r="S493" t="b">
        <f t="shared" si="261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62">TESTdivide(E494,F494,G494,H494)</f>
        <v>0</v>
      </c>
      <c r="J494" s="2" t="str">
        <f t="shared" ref="J494:J495" si="263">TESTdivideByRef1(E494,F494,G494,H494)</f>
        <v>9</v>
      </c>
      <c r="K494" s="2">
        <f t="shared" ref="K494:K495" si="264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65">getText(I494)=getText(M494)</f>
        <v>1</v>
      </c>
      <c r="R494" s="2" t="b">
        <f t="shared" ref="R494:R495" si="266">getText(J494)=getText(N494)</f>
        <v>1</v>
      </c>
      <c r="S494" s="2" t="b">
        <f t="shared" ref="S494:S495" si="267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62"/>
        <v>0</v>
      </c>
      <c r="J495" t="str">
        <f t="shared" si="263"/>
        <v>F</v>
      </c>
      <c r="K495">
        <f t="shared" si="264"/>
        <v>0</v>
      </c>
      <c r="M495" s="12" t="s">
        <v>14</v>
      </c>
      <c r="N495" t="s">
        <v>98</v>
      </c>
      <c r="O495">
        <v>0</v>
      </c>
      <c r="Q495" s="1" t="b">
        <f t="shared" si="265"/>
        <v>1</v>
      </c>
      <c r="R495" t="b">
        <f t="shared" si="266"/>
        <v>1</v>
      </c>
      <c r="S495" t="b">
        <f t="shared" si="267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68">TESTdivide(E496,F496,G496,H496)</f>
        <v>01</v>
      </c>
      <c r="J496" s="2" t="str">
        <f t="shared" ref="J496:J498" si="269">TESTdivideByRef1(E496,F496,G496,H496)</f>
        <v>00</v>
      </c>
      <c r="K496" s="2">
        <f t="shared" ref="K496:K498" si="270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71">getText(I496)=getText(M496)</f>
        <v>1</v>
      </c>
      <c r="R496" s="2" t="b">
        <f t="shared" ref="R496:R498" si="272">getText(J496)=getText(N496)</f>
        <v>1</v>
      </c>
      <c r="S496" s="2" t="b">
        <f t="shared" ref="S496:S498" si="273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68"/>
        <v>01</v>
      </c>
      <c r="J497" t="str">
        <f t="shared" si="269"/>
        <v>00</v>
      </c>
      <c r="K497">
        <f t="shared" si="270"/>
        <v>0</v>
      </c>
      <c r="M497" s="12" t="s">
        <v>117</v>
      </c>
      <c r="N497" t="s">
        <v>97</v>
      </c>
      <c r="O497">
        <v>0</v>
      </c>
      <c r="Q497" s="1" t="b">
        <f t="shared" si="271"/>
        <v>1</v>
      </c>
      <c r="R497" t="b">
        <f t="shared" si="272"/>
        <v>1</v>
      </c>
      <c r="S497" t="b">
        <f t="shared" si="273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68"/>
        <v>01</v>
      </c>
      <c r="J498" t="str">
        <f t="shared" si="269"/>
        <v>00</v>
      </c>
      <c r="K498">
        <f t="shared" si="270"/>
        <v>0</v>
      </c>
      <c r="M498" s="12" t="s">
        <v>117</v>
      </c>
      <c r="N498" t="s">
        <v>97</v>
      </c>
      <c r="O498">
        <v>0</v>
      </c>
      <c r="Q498" s="1" t="b">
        <f t="shared" si="271"/>
        <v>1</v>
      </c>
      <c r="R498" t="b">
        <f t="shared" si="272"/>
        <v>1</v>
      </c>
      <c r="S498" t="b">
        <f t="shared" si="273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74">TESTdivide(E499,F499,G499,H499)</f>
        <v>01</v>
      </c>
      <c r="J499" s="2" t="str">
        <f t="shared" ref="J499:J501" si="275">TESTdivideByRef1(E499,F499,G499,H499)</f>
        <v>01</v>
      </c>
      <c r="K499" s="2">
        <f t="shared" ref="K499:K501" si="276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77">getText(I499)=getText(M499)</f>
        <v>1</v>
      </c>
      <c r="R499" s="2" t="b">
        <f t="shared" ref="R499:R501" si="278">getText(J499)=getText(N499)</f>
        <v>1</v>
      </c>
      <c r="S499" s="2" t="b">
        <f t="shared" ref="S499:S501" si="279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74"/>
        <v>01</v>
      </c>
      <c r="J500" t="str">
        <f t="shared" si="275"/>
        <v>01</v>
      </c>
      <c r="K500">
        <f t="shared" si="276"/>
        <v>0</v>
      </c>
      <c r="M500" s="12" t="s">
        <v>118</v>
      </c>
      <c r="N500" t="s">
        <v>231</v>
      </c>
      <c r="O500">
        <v>0</v>
      </c>
      <c r="Q500" s="1" t="b">
        <f t="shared" si="277"/>
        <v>1</v>
      </c>
      <c r="R500" t="b">
        <f t="shared" si="278"/>
        <v>1</v>
      </c>
      <c r="S500" t="b">
        <f t="shared" si="279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74"/>
        <v>01</v>
      </c>
      <c r="J501" t="str">
        <f t="shared" si="275"/>
        <v>01</v>
      </c>
      <c r="K501">
        <f t="shared" si="276"/>
        <v>0</v>
      </c>
      <c r="M501" s="12" t="s">
        <v>118</v>
      </c>
      <c r="N501" t="s">
        <v>231</v>
      </c>
      <c r="O501">
        <v>0</v>
      </c>
      <c r="Q501" s="1" t="b">
        <f t="shared" si="277"/>
        <v>1</v>
      </c>
      <c r="R501" t="b">
        <f t="shared" si="278"/>
        <v>1</v>
      </c>
      <c r="S501" t="b">
        <f t="shared" si="279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80">TESTdivide(E502,F502,G502,H502)</f>
        <v>01</v>
      </c>
      <c r="J502" s="2" t="str">
        <f t="shared" ref="J502:J503" si="281">TESTdivideByRef1(E502,F502,G502,H502)</f>
        <v>09</v>
      </c>
      <c r="K502" s="2">
        <f t="shared" ref="K502:K503" si="282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83">getText(I502)=getText(M502)</f>
        <v>1</v>
      </c>
      <c r="R502" s="2" t="b">
        <f t="shared" ref="R502:R503" si="284">getText(J502)=getText(N502)</f>
        <v>1</v>
      </c>
      <c r="S502" s="2" t="b">
        <f t="shared" ref="S502:S503" si="285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80"/>
        <v>01</v>
      </c>
      <c r="J503" t="str">
        <f t="shared" si="281"/>
        <v>0F</v>
      </c>
      <c r="K503">
        <f t="shared" si="282"/>
        <v>0</v>
      </c>
      <c r="M503" s="12" t="s">
        <v>118</v>
      </c>
      <c r="N503" t="s">
        <v>236</v>
      </c>
      <c r="O503">
        <v>0</v>
      </c>
      <c r="Q503" s="1" t="b">
        <f t="shared" si="283"/>
        <v>1</v>
      </c>
      <c r="R503" t="b">
        <f t="shared" si="284"/>
        <v>1</v>
      </c>
      <c r="S503" t="b">
        <f t="shared" si="285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86">TESTdivide(E504,F504,G504,H504)</f>
        <v>01</v>
      </c>
      <c r="J504" s="2" t="str">
        <f t="shared" ref="J504:J506" si="287">TESTdivideByRef1(E504,F504,G504,H504)</f>
        <v>00</v>
      </c>
      <c r="K504" s="2">
        <f t="shared" ref="K504:K506" si="288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89">getText(I504)=getText(M504)</f>
        <v>1</v>
      </c>
      <c r="R504" s="2" t="b">
        <f t="shared" ref="R504:R505" si="290">getText(J504)=getText(N504)</f>
        <v>1</v>
      </c>
      <c r="S504" s="2" t="b">
        <f t="shared" ref="S504:S505" si="291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86"/>
        <v>09</v>
      </c>
      <c r="J505" t="str">
        <f t="shared" si="287"/>
        <v>00</v>
      </c>
      <c r="K505">
        <f t="shared" si="288"/>
        <v>0</v>
      </c>
      <c r="M505" s="21" t="s">
        <v>122</v>
      </c>
      <c r="N505" s="26" t="s">
        <v>97</v>
      </c>
      <c r="O505">
        <v>0</v>
      </c>
      <c r="Q505" s="1" t="b">
        <f t="shared" si="289"/>
        <v>1</v>
      </c>
      <c r="R505" t="b">
        <f t="shared" si="290"/>
        <v>1</v>
      </c>
      <c r="S505" t="b">
        <f t="shared" si="291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86"/>
        <v>0F</v>
      </c>
      <c r="J506" t="str">
        <f t="shared" si="287"/>
        <v>00</v>
      </c>
      <c r="K506">
        <f t="shared" si="288"/>
        <v>0</v>
      </c>
      <c r="M506" s="21" t="s">
        <v>123</v>
      </c>
      <c r="N506" s="26" t="s">
        <v>97</v>
      </c>
      <c r="O506">
        <v>0</v>
      </c>
      <c r="Q506" s="1" t="b">
        <f t="shared" ref="Q506:Q508" si="292">getText(I506)=getText(M506)</f>
        <v>1</v>
      </c>
      <c r="R506" t="b">
        <f t="shared" ref="R506:R508" si="293">getText(J506)=getText(N506)</f>
        <v>1</v>
      </c>
      <c r="S506" t="b">
        <f t="shared" ref="S506:S508" si="294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295">TESTdivide(E507,F507,G507,H507)</f>
        <v>01</v>
      </c>
      <c r="J507" s="2" t="str">
        <f t="shared" ref="J507:J508" si="296">TESTdivideByRef1(E507,F507,G507,H507)</f>
        <v>01</v>
      </c>
      <c r="K507" s="2">
        <f t="shared" ref="K507:K508" si="297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92"/>
        <v>1</v>
      </c>
      <c r="R507" s="2" t="b">
        <f t="shared" si="293"/>
        <v>1</v>
      </c>
      <c r="S507" s="2" t="b">
        <f t="shared" si="294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295"/>
        <v>09</v>
      </c>
      <c r="J508" t="str">
        <f t="shared" si="296"/>
        <v>01</v>
      </c>
      <c r="K508">
        <f t="shared" si="297"/>
        <v>0</v>
      </c>
      <c r="M508" s="21" t="s">
        <v>122</v>
      </c>
      <c r="N508" s="26" t="s">
        <v>231</v>
      </c>
      <c r="O508">
        <v>0</v>
      </c>
      <c r="Q508" s="1" t="b">
        <f t="shared" si="292"/>
        <v>1</v>
      </c>
      <c r="R508" t="b">
        <f t="shared" si="293"/>
        <v>1</v>
      </c>
      <c r="S508" t="b">
        <f t="shared" si="294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298">TESTdivide(E509,F509,G509,H509)</f>
        <v>0F</v>
      </c>
      <c r="J509" t="str">
        <f t="shared" ref="J509:J511" si="299">TESTdivideByRef1(E509,F509,G509,H509)</f>
        <v>01</v>
      </c>
      <c r="K509">
        <f t="shared" ref="K509:K511" si="300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301">getText(I509)=getText(M509)</f>
        <v>1</v>
      </c>
      <c r="R509" t="b">
        <f t="shared" ref="R509:R511" si="302">getText(J509)=getText(N509)</f>
        <v>1</v>
      </c>
      <c r="S509" t="b">
        <f t="shared" ref="S509:S511" si="303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298"/>
        <v>09</v>
      </c>
      <c r="J510" s="2" t="str">
        <f t="shared" si="299"/>
        <v>09</v>
      </c>
      <c r="K510" s="2">
        <f t="shared" si="300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301"/>
        <v>1</v>
      </c>
      <c r="R510" s="2" t="b">
        <f t="shared" si="302"/>
        <v>1</v>
      </c>
      <c r="S510" s="2" t="b">
        <f t="shared" si="303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298"/>
        <v>0F</v>
      </c>
      <c r="J511" t="str">
        <f t="shared" si="299"/>
        <v>0F</v>
      </c>
      <c r="K511">
        <f t="shared" si="300"/>
        <v>0</v>
      </c>
      <c r="M511" s="21" t="s">
        <v>123</v>
      </c>
      <c r="N511" s="26" t="s">
        <v>236</v>
      </c>
      <c r="O511">
        <v>0</v>
      </c>
      <c r="Q511" s="1" t="b">
        <f t="shared" si="301"/>
        <v>1</v>
      </c>
      <c r="R511" t="b">
        <f t="shared" si="302"/>
        <v>1</v>
      </c>
      <c r="S511" t="b">
        <f t="shared" si="303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304">TESTdivide(E512,F512,G512,H512)</f>
        <v>010</v>
      </c>
      <c r="J512" s="2" t="str">
        <f t="shared" ref="J512:J514" si="305">TESTdivideByRef1(E512,F512,G512,H512)</f>
        <v>000</v>
      </c>
      <c r="K512" s="2">
        <f t="shared" ref="K512:K514" si="306">TESTdivideByRef2(E512,F512,G512,H512)</f>
        <v>0</v>
      </c>
      <c r="L512" s="2"/>
      <c r="M512" s="20" t="s">
        <v>78</v>
      </c>
      <c r="N512" s="25" t="s">
        <v>907</v>
      </c>
      <c r="O512" s="2">
        <v>0</v>
      </c>
      <c r="P512" s="2"/>
      <c r="Q512" s="3" t="b">
        <f t="shared" ref="Q512:Q514" si="307">getText(I512)=getText(M512)</f>
        <v>1</v>
      </c>
      <c r="R512" s="2" t="b">
        <f t="shared" ref="R512:R514" si="308">getText(J512)=getText(N512)</f>
        <v>1</v>
      </c>
      <c r="S512" s="2" t="b">
        <f t="shared" ref="S512:S514" si="309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304"/>
        <v>010</v>
      </c>
      <c r="J513" t="str">
        <f t="shared" si="305"/>
        <v>000</v>
      </c>
      <c r="K513">
        <f t="shared" si="306"/>
        <v>0</v>
      </c>
      <c r="M513" s="21" t="s">
        <v>78</v>
      </c>
      <c r="N513" s="26" t="s">
        <v>907</v>
      </c>
      <c r="O513" s="7">
        <v>0</v>
      </c>
      <c r="P513" s="7"/>
      <c r="Q513" s="1" t="b">
        <f t="shared" si="307"/>
        <v>1</v>
      </c>
      <c r="R513" t="b">
        <f t="shared" si="308"/>
        <v>1</v>
      </c>
      <c r="S513" t="b">
        <f t="shared" si="309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304"/>
        <v>010</v>
      </c>
      <c r="J514" t="str">
        <f t="shared" si="305"/>
        <v>000</v>
      </c>
      <c r="K514">
        <f t="shared" si="306"/>
        <v>0</v>
      </c>
      <c r="M514" s="21" t="s">
        <v>78</v>
      </c>
      <c r="N514" s="26" t="s">
        <v>907</v>
      </c>
      <c r="O514" s="7">
        <v>0</v>
      </c>
      <c r="P514" s="7"/>
      <c r="Q514" s="1" t="b">
        <f t="shared" si="307"/>
        <v>1</v>
      </c>
      <c r="R514" t="b">
        <f t="shared" si="308"/>
        <v>1</v>
      </c>
      <c r="S514" t="b">
        <f t="shared" si="309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10">TESTdivide(E515,F515,G515,H515)</f>
        <v>010</v>
      </c>
      <c r="J515" s="2" t="str">
        <f t="shared" ref="J515:J519" si="311">TESTdivideByRef1(E515,F515,G515,H515)</f>
        <v>001</v>
      </c>
      <c r="K515" s="2">
        <f t="shared" ref="K515:K519" si="312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13">getText(I515)=getText(M515)</f>
        <v>1</v>
      </c>
      <c r="R515" s="2" t="b">
        <f t="shared" ref="R515:R519" si="314">getText(J515)=getText(N515)</f>
        <v>1</v>
      </c>
      <c r="S515" s="2" t="b">
        <f t="shared" ref="S515:S519" si="315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10"/>
        <v>010</v>
      </c>
      <c r="J516" t="str">
        <f t="shared" si="311"/>
        <v>001</v>
      </c>
      <c r="K516">
        <f t="shared" si="312"/>
        <v>0</v>
      </c>
      <c r="M516" s="21" t="s">
        <v>78</v>
      </c>
      <c r="N516" s="26" t="s">
        <v>81</v>
      </c>
      <c r="O516">
        <v>0</v>
      </c>
      <c r="Q516" s="1" t="b">
        <f t="shared" si="313"/>
        <v>1</v>
      </c>
      <c r="R516" t="b">
        <f t="shared" si="314"/>
        <v>1</v>
      </c>
      <c r="S516" t="b">
        <f t="shared" si="315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10"/>
        <v>010</v>
      </c>
      <c r="J517" t="str">
        <f t="shared" si="311"/>
        <v>001</v>
      </c>
      <c r="K517">
        <f t="shared" si="312"/>
        <v>0</v>
      </c>
      <c r="M517" s="21" t="s">
        <v>78</v>
      </c>
      <c r="N517" s="26" t="s">
        <v>81</v>
      </c>
      <c r="O517">
        <v>0</v>
      </c>
      <c r="Q517" s="1" t="b">
        <f t="shared" si="313"/>
        <v>1</v>
      </c>
      <c r="R517" t="b">
        <f t="shared" si="314"/>
        <v>1</v>
      </c>
      <c r="S517" t="b">
        <f t="shared" si="315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10"/>
        <v>010</v>
      </c>
      <c r="J518" s="2" t="str">
        <f t="shared" si="311"/>
        <v>009</v>
      </c>
      <c r="K518" s="2">
        <f t="shared" si="312"/>
        <v>0</v>
      </c>
      <c r="L518" s="2"/>
      <c r="M518" s="20" t="s">
        <v>78</v>
      </c>
      <c r="N518" s="25" t="s">
        <v>908</v>
      </c>
      <c r="O518" s="2">
        <v>0</v>
      </c>
      <c r="P518" s="2"/>
      <c r="Q518" s="3" t="b">
        <f t="shared" si="313"/>
        <v>1</v>
      </c>
      <c r="R518" s="2" t="b">
        <f t="shared" si="314"/>
        <v>1</v>
      </c>
      <c r="S518" s="2" t="b">
        <f t="shared" si="315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10"/>
        <v>010</v>
      </c>
      <c r="J519" t="str">
        <f t="shared" si="311"/>
        <v>00F</v>
      </c>
      <c r="K519">
        <f t="shared" si="312"/>
        <v>0</v>
      </c>
      <c r="M519" s="21" t="s">
        <v>78</v>
      </c>
      <c r="N519" s="26" t="s">
        <v>909</v>
      </c>
      <c r="O519">
        <v>0</v>
      </c>
      <c r="Q519" s="1" t="b">
        <f t="shared" si="313"/>
        <v>1</v>
      </c>
      <c r="R519" t="b">
        <f t="shared" si="314"/>
        <v>1</v>
      </c>
      <c r="S519" t="b">
        <f t="shared" si="315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16">TESTdivide(E520,F520,G520,H520)</f>
        <v>011</v>
      </c>
      <c r="J520" s="2" t="str">
        <f t="shared" ref="J520:J522" si="317">TESTdivideByRef1(E520,F520,G520,H520)</f>
        <v>000</v>
      </c>
      <c r="K520" s="2">
        <f t="shared" ref="K520:K522" si="318">TESTdivideByRef2(E520,F520,G520,H520)</f>
        <v>0</v>
      </c>
      <c r="L520" s="2"/>
      <c r="M520" s="20" t="s">
        <v>134</v>
      </c>
      <c r="N520" s="25" t="s">
        <v>907</v>
      </c>
      <c r="O520" s="2">
        <v>0</v>
      </c>
      <c r="P520" s="2"/>
      <c r="Q520" s="3" t="b">
        <f t="shared" ref="Q520:Q522" si="319">getText(I520)=getText(M520)</f>
        <v>1</v>
      </c>
      <c r="R520" s="2" t="b">
        <f t="shared" ref="R520:R522" si="320">getText(J520)=getText(N520)</f>
        <v>1</v>
      </c>
      <c r="S520" s="2" t="b">
        <f t="shared" ref="S520:S522" si="321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16"/>
        <v>011</v>
      </c>
      <c r="J521" t="str">
        <f t="shared" si="317"/>
        <v>000</v>
      </c>
      <c r="K521">
        <f t="shared" si="318"/>
        <v>0</v>
      </c>
      <c r="M521" s="21" t="s">
        <v>77</v>
      </c>
      <c r="N521" s="26" t="s">
        <v>907</v>
      </c>
      <c r="O521">
        <v>0</v>
      </c>
      <c r="Q521" s="1" t="b">
        <f t="shared" si="319"/>
        <v>1</v>
      </c>
      <c r="R521" t="b">
        <f t="shared" si="320"/>
        <v>1</v>
      </c>
      <c r="S521" t="b">
        <f t="shared" si="321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16"/>
        <v>011</v>
      </c>
      <c r="J522" t="str">
        <f t="shared" si="317"/>
        <v>000</v>
      </c>
      <c r="K522">
        <f t="shared" si="318"/>
        <v>0</v>
      </c>
      <c r="M522" s="21" t="s">
        <v>77</v>
      </c>
      <c r="N522" s="26" t="s">
        <v>907</v>
      </c>
      <c r="O522">
        <v>0</v>
      </c>
      <c r="Q522" s="1" t="b">
        <f t="shared" si="319"/>
        <v>1</v>
      </c>
      <c r="R522" t="b">
        <f t="shared" si="320"/>
        <v>1</v>
      </c>
      <c r="S522" t="b">
        <f t="shared" si="321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22">TESTdivide(E523,F523,G523,H523)</f>
        <v>011</v>
      </c>
      <c r="J523" s="2" t="str">
        <f t="shared" ref="J523:J527" si="323">TESTdivideByRef1(E523,F523,G523,H523)</f>
        <v>001</v>
      </c>
      <c r="K523" s="2">
        <f t="shared" ref="K523:K527" si="324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25">getText(I523)=getText(M523)</f>
        <v>1</v>
      </c>
      <c r="R523" s="2" t="b">
        <f t="shared" ref="R523:R525" si="326">getText(J523)=getText(N523)</f>
        <v>1</v>
      </c>
      <c r="S523" s="2" t="b">
        <f t="shared" ref="S523:S525" si="327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22"/>
        <v>011</v>
      </c>
      <c r="J524" t="str">
        <f t="shared" si="323"/>
        <v>001</v>
      </c>
      <c r="K524">
        <f t="shared" si="324"/>
        <v>0</v>
      </c>
      <c r="M524" s="21" t="s">
        <v>77</v>
      </c>
      <c r="N524" s="26" t="s">
        <v>81</v>
      </c>
      <c r="O524">
        <v>0</v>
      </c>
      <c r="Q524" s="1" t="b">
        <f t="shared" si="325"/>
        <v>1</v>
      </c>
      <c r="R524" t="b">
        <f t="shared" si="326"/>
        <v>1</v>
      </c>
      <c r="S524" t="b">
        <f t="shared" si="327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22"/>
        <v>011</v>
      </c>
      <c r="J525" t="str">
        <f t="shared" si="323"/>
        <v>001</v>
      </c>
      <c r="K525">
        <f t="shared" si="324"/>
        <v>0</v>
      </c>
      <c r="M525" s="21" t="s">
        <v>77</v>
      </c>
      <c r="N525" s="26" t="s">
        <v>81</v>
      </c>
      <c r="O525">
        <v>0</v>
      </c>
      <c r="Q525" s="1" t="b">
        <f t="shared" si="325"/>
        <v>1</v>
      </c>
      <c r="R525" t="b">
        <f t="shared" si="326"/>
        <v>1</v>
      </c>
      <c r="S525" t="b">
        <f t="shared" si="327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22"/>
        <v>011</v>
      </c>
      <c r="J526" s="2" t="str">
        <f t="shared" si="323"/>
        <v>009</v>
      </c>
      <c r="K526" s="2">
        <f t="shared" si="324"/>
        <v>0</v>
      </c>
      <c r="L526" s="2"/>
      <c r="M526" s="20" t="s">
        <v>77</v>
      </c>
      <c r="N526" s="25" t="s">
        <v>908</v>
      </c>
      <c r="O526" s="2">
        <v>0</v>
      </c>
      <c r="P526" s="2"/>
      <c r="Q526" s="3" t="b">
        <f t="shared" ref="Q526:Q527" si="328">getText(I526)=getText(M526)</f>
        <v>1</v>
      </c>
      <c r="R526" s="2" t="b">
        <f t="shared" ref="R526:R527" si="329">getText(J526)=getText(N526)</f>
        <v>1</v>
      </c>
      <c r="S526" s="2" t="b">
        <f t="shared" ref="S526:S527" si="330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22"/>
        <v>011</v>
      </c>
      <c r="J527" t="str">
        <f t="shared" si="323"/>
        <v>00F</v>
      </c>
      <c r="K527">
        <f t="shared" si="324"/>
        <v>0</v>
      </c>
      <c r="M527" s="21" t="s">
        <v>77</v>
      </c>
      <c r="N527" s="26" t="s">
        <v>909</v>
      </c>
      <c r="O527">
        <v>0</v>
      </c>
      <c r="Q527" s="1" t="b">
        <f t="shared" si="328"/>
        <v>1</v>
      </c>
      <c r="R527" t="b">
        <f t="shared" si="329"/>
        <v>1</v>
      </c>
      <c r="S527" t="b">
        <f t="shared" si="330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31">TESTdivide(E528,F528,G528,H528)</f>
        <v>011</v>
      </c>
      <c r="J528" s="2" t="str">
        <f t="shared" ref="J528:J530" si="332">TESTdivideByRef1(E528,F528,G528,H528)</f>
        <v>000</v>
      </c>
      <c r="K528" s="2">
        <f t="shared" ref="K528:K530" si="333">TESTdivideByRef2(E528,F528,G528,H528)</f>
        <v>0</v>
      </c>
      <c r="L528" s="2"/>
      <c r="M528" s="20" t="s">
        <v>134</v>
      </c>
      <c r="N528" s="25" t="s">
        <v>907</v>
      </c>
      <c r="O528" s="2">
        <v>0</v>
      </c>
      <c r="P528" s="2"/>
      <c r="Q528" s="3" t="b">
        <f t="shared" ref="Q528:Q530" si="334">getText(I528)=getText(M528)</f>
        <v>1</v>
      </c>
      <c r="R528" s="2" t="b">
        <f t="shared" ref="R528:R530" si="335">getText(J528)=getText(N528)</f>
        <v>1</v>
      </c>
      <c r="S528" s="2" t="b">
        <f t="shared" ref="S528:S530" si="336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31"/>
        <v>099</v>
      </c>
      <c r="J529" t="str">
        <f t="shared" si="332"/>
        <v>000</v>
      </c>
      <c r="K529">
        <f t="shared" si="333"/>
        <v>0</v>
      </c>
      <c r="M529" s="21" t="s">
        <v>140</v>
      </c>
      <c r="N529" s="26" t="s">
        <v>907</v>
      </c>
      <c r="O529">
        <v>0</v>
      </c>
      <c r="Q529" s="1" t="b">
        <f t="shared" si="334"/>
        <v>1</v>
      </c>
      <c r="R529" t="b">
        <f t="shared" si="335"/>
        <v>1</v>
      </c>
      <c r="S529" t="b">
        <f t="shared" si="336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31"/>
        <v>0FF</v>
      </c>
      <c r="J530" t="str">
        <f t="shared" si="332"/>
        <v>000</v>
      </c>
      <c r="K530">
        <f t="shared" si="333"/>
        <v>0</v>
      </c>
      <c r="M530" s="21" t="s">
        <v>142</v>
      </c>
      <c r="N530" s="26" t="s">
        <v>907</v>
      </c>
      <c r="O530">
        <v>0</v>
      </c>
      <c r="Q530" s="1" t="b">
        <f t="shared" si="334"/>
        <v>1</v>
      </c>
      <c r="R530" t="b">
        <f t="shared" si="335"/>
        <v>1</v>
      </c>
      <c r="S530" t="b">
        <f t="shared" si="336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37">TESTdivide(E531,F531,G531,H531)</f>
        <v>011</v>
      </c>
      <c r="J531" s="2" t="str">
        <f t="shared" ref="J531:J533" si="338">TESTdivideByRef1(E531,F531,G531,H531)</f>
        <v>001</v>
      </c>
      <c r="K531" s="2">
        <f t="shared" ref="K531:K533" si="339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40">getText(I531)=getText(M531)</f>
        <v>1</v>
      </c>
      <c r="R531" s="2" t="b">
        <f t="shared" ref="R531:R533" si="341">getText(J531)=getText(N531)</f>
        <v>1</v>
      </c>
      <c r="S531" s="2" t="b">
        <f t="shared" ref="S531:S533" si="342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37"/>
        <v>099</v>
      </c>
      <c r="J532" t="str">
        <f t="shared" si="338"/>
        <v>001</v>
      </c>
      <c r="K532">
        <f t="shared" si="339"/>
        <v>0</v>
      </c>
      <c r="M532" s="21" t="s">
        <v>139</v>
      </c>
      <c r="N532" s="26" t="s">
        <v>81</v>
      </c>
      <c r="O532">
        <v>0</v>
      </c>
      <c r="Q532" s="1" t="b">
        <f t="shared" si="340"/>
        <v>1</v>
      </c>
      <c r="R532" t="b">
        <f t="shared" si="341"/>
        <v>1</v>
      </c>
      <c r="S532" t="b">
        <f t="shared" si="342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37"/>
        <v>0FF</v>
      </c>
      <c r="J533" t="str">
        <f t="shared" si="338"/>
        <v>001</v>
      </c>
      <c r="K533">
        <f t="shared" si="339"/>
        <v>0</v>
      </c>
      <c r="M533" s="21" t="s">
        <v>141</v>
      </c>
      <c r="N533" s="26" t="s">
        <v>81</v>
      </c>
      <c r="O533">
        <v>0</v>
      </c>
      <c r="Q533" s="1" t="b">
        <f t="shared" si="340"/>
        <v>1</v>
      </c>
      <c r="R533" t="b">
        <f t="shared" si="341"/>
        <v>1</v>
      </c>
      <c r="S533" t="b">
        <f t="shared" si="342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43">TESTdivide(E534,F534,G534,H534)</f>
        <v>099</v>
      </c>
      <c r="J534" s="2" t="str">
        <f t="shared" ref="J534:J535" si="344">TESTdivideByRef1(E534,F534,G534,H534)</f>
        <v>009</v>
      </c>
      <c r="K534" s="2">
        <f t="shared" ref="K534:K535" si="345">TESTdivideByRef2(E534,F534,G534,H534)</f>
        <v>0</v>
      </c>
      <c r="L534" s="2"/>
      <c r="M534" s="20" t="s">
        <v>139</v>
      </c>
      <c r="N534" s="25" t="s">
        <v>908</v>
      </c>
      <c r="O534" s="2">
        <v>0</v>
      </c>
      <c r="P534" s="2"/>
      <c r="Q534" s="3" t="b">
        <f t="shared" ref="Q534:Q535" si="346">getText(I534)=getText(M534)</f>
        <v>1</v>
      </c>
      <c r="R534" s="2" t="b">
        <f t="shared" ref="R534:R535" si="347">getText(J534)=getText(N534)</f>
        <v>1</v>
      </c>
      <c r="S534" s="2" t="b">
        <f t="shared" ref="S534:S535" si="348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43"/>
        <v>0FF</v>
      </c>
      <c r="J535" t="str">
        <f t="shared" si="344"/>
        <v>00F</v>
      </c>
      <c r="K535">
        <f t="shared" si="345"/>
        <v>0</v>
      </c>
      <c r="M535" s="21" t="s">
        <v>141</v>
      </c>
      <c r="N535" s="26" t="s">
        <v>909</v>
      </c>
      <c r="O535">
        <v>0</v>
      </c>
      <c r="Q535" s="1" t="b">
        <f t="shared" si="346"/>
        <v>1</v>
      </c>
      <c r="R535" t="b">
        <f t="shared" si="347"/>
        <v>1</v>
      </c>
      <c r="S535" t="b">
        <f t="shared" si="348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49">TESTdivide(E536,F536,G536,H536)</f>
        <v>0100</v>
      </c>
      <c r="J536" s="2" t="str">
        <f t="shared" ref="J536:J538" si="350">TESTdivideByRef1(E536,F536,G536,H536)</f>
        <v>0000</v>
      </c>
      <c r="K536" s="2">
        <f t="shared" ref="K536:K538" si="351">TESTdivideByRef2(E536,F536,G536,H536)</f>
        <v>0</v>
      </c>
      <c r="L536" s="2"/>
      <c r="M536" s="20" t="s">
        <v>150</v>
      </c>
      <c r="N536" s="25" t="s">
        <v>910</v>
      </c>
      <c r="O536" s="2">
        <v>0</v>
      </c>
      <c r="P536" s="2"/>
      <c r="Q536" s="3" t="b">
        <f t="shared" ref="Q536:Q538" si="352">getText(I536)=getText(M536)</f>
        <v>1</v>
      </c>
      <c r="R536" s="2" t="b">
        <f t="shared" ref="R536:R538" si="353">getText(J536)=getText(N536)</f>
        <v>1</v>
      </c>
      <c r="S536" s="2" t="b">
        <f t="shared" ref="S536:S538" si="354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49"/>
        <v>0100</v>
      </c>
      <c r="J537" t="str">
        <f t="shared" si="350"/>
        <v>0000</v>
      </c>
      <c r="K537">
        <f t="shared" si="351"/>
        <v>0</v>
      </c>
      <c r="M537" s="21" t="s">
        <v>150</v>
      </c>
      <c r="N537" s="26" t="s">
        <v>910</v>
      </c>
      <c r="O537">
        <v>0</v>
      </c>
      <c r="Q537" s="1" t="b">
        <f t="shared" si="352"/>
        <v>1</v>
      </c>
      <c r="R537" t="b">
        <f t="shared" si="353"/>
        <v>1</v>
      </c>
      <c r="S537" t="b">
        <f t="shared" si="354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49"/>
        <v>0100</v>
      </c>
      <c r="J538" t="str">
        <f t="shared" si="350"/>
        <v>0000</v>
      </c>
      <c r="K538">
        <f t="shared" si="351"/>
        <v>0</v>
      </c>
      <c r="M538" s="21" t="s">
        <v>150</v>
      </c>
      <c r="N538" s="26" t="s">
        <v>910</v>
      </c>
      <c r="O538">
        <v>0</v>
      </c>
      <c r="Q538" s="1" t="b">
        <f t="shared" si="352"/>
        <v>1</v>
      </c>
      <c r="R538" t="b">
        <f t="shared" si="353"/>
        <v>1</v>
      </c>
      <c r="S538" t="b">
        <f t="shared" si="354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55">TESTdivide(E539,F539,G539,H539)</f>
        <v>0100</v>
      </c>
      <c r="J539" s="2" t="str">
        <f t="shared" ref="J539:J541" si="356">TESTdivideByRef1(E539,F539,G539,H539)</f>
        <v>0001</v>
      </c>
      <c r="K539" s="2">
        <f t="shared" ref="K539:K541" si="357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58">getText(I539)=getText(M539)</f>
        <v>1</v>
      </c>
      <c r="R539" s="2" t="b">
        <f t="shared" ref="R539:R541" si="359">getText(J539)=getText(N539)</f>
        <v>1</v>
      </c>
      <c r="S539" s="2" t="b">
        <f t="shared" ref="S539:S541" si="360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55"/>
        <v>0100</v>
      </c>
      <c r="J540" t="str">
        <f t="shared" si="356"/>
        <v>0001</v>
      </c>
      <c r="K540">
        <f t="shared" si="357"/>
        <v>0</v>
      </c>
      <c r="M540" s="21" t="s">
        <v>150</v>
      </c>
      <c r="N540" s="26" t="s">
        <v>429</v>
      </c>
      <c r="O540">
        <v>0</v>
      </c>
      <c r="Q540" s="1" t="b">
        <f t="shared" si="358"/>
        <v>1</v>
      </c>
      <c r="R540" t="b">
        <f t="shared" si="359"/>
        <v>1</v>
      </c>
      <c r="S540" t="b">
        <f t="shared" si="360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55"/>
        <v>0100</v>
      </c>
      <c r="J541" t="str">
        <f t="shared" si="356"/>
        <v>0001</v>
      </c>
      <c r="K541">
        <f t="shared" si="357"/>
        <v>0</v>
      </c>
      <c r="M541" s="21" t="s">
        <v>150</v>
      </c>
      <c r="N541" s="26" t="s">
        <v>429</v>
      </c>
      <c r="O541">
        <v>0</v>
      </c>
      <c r="Q541" s="1" t="b">
        <f t="shared" si="358"/>
        <v>1</v>
      </c>
      <c r="R541" t="b">
        <f t="shared" si="359"/>
        <v>1</v>
      </c>
      <c r="S541" t="b">
        <f t="shared" si="360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61">TESTdivide(E542,F542,G542,H542)</f>
        <v>0100</v>
      </c>
      <c r="J542" s="2" t="str">
        <f t="shared" ref="J542:J543" si="362">TESTdivideByRef1(E542,F542,G542,H542)</f>
        <v>0009</v>
      </c>
      <c r="K542" s="2">
        <f t="shared" ref="K542:K543" si="363">TESTdivideByRef2(E542,F542,G542,H542)</f>
        <v>0</v>
      </c>
      <c r="L542" s="2"/>
      <c r="M542" s="20" t="s">
        <v>150</v>
      </c>
      <c r="N542" s="25" t="s">
        <v>911</v>
      </c>
      <c r="O542" s="2">
        <v>0</v>
      </c>
      <c r="P542" s="2"/>
      <c r="Q542" s="3" t="b">
        <f t="shared" ref="Q542:Q543" si="364">getText(I542)=getText(M542)</f>
        <v>1</v>
      </c>
      <c r="R542" s="2" t="b">
        <f t="shared" ref="R542:R543" si="365">getText(J542)=getText(N542)</f>
        <v>1</v>
      </c>
      <c r="S542" s="2" t="b">
        <f t="shared" ref="S542:S543" si="366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61"/>
        <v>0100</v>
      </c>
      <c r="J543" t="str">
        <f t="shared" si="362"/>
        <v>000F</v>
      </c>
      <c r="K543">
        <f t="shared" si="363"/>
        <v>0</v>
      </c>
      <c r="M543" s="21" t="s">
        <v>150</v>
      </c>
      <c r="N543" s="26" t="s">
        <v>912</v>
      </c>
      <c r="O543">
        <v>0</v>
      </c>
      <c r="Q543" s="1" t="b">
        <f t="shared" si="364"/>
        <v>1</v>
      </c>
      <c r="R543" t="b">
        <f t="shared" si="365"/>
        <v>1</v>
      </c>
      <c r="S543" t="b">
        <f t="shared" si="366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67">TESTdivide(E544,F544,G544,H544)</f>
        <v>0101</v>
      </c>
      <c r="J544" s="2" t="str">
        <f t="shared" ref="J544:J546" si="368">TESTdivideByRef1(E544,F544,G544,H544)</f>
        <v>0000</v>
      </c>
      <c r="K544" s="2">
        <f t="shared" ref="K544:K546" si="369">TESTdivideByRef2(E544,F544,G544,H544)</f>
        <v>0</v>
      </c>
      <c r="L544" s="2"/>
      <c r="M544" s="20" t="s">
        <v>155</v>
      </c>
      <c r="N544" s="25" t="s">
        <v>910</v>
      </c>
      <c r="O544" s="2">
        <v>0</v>
      </c>
      <c r="P544" s="2"/>
      <c r="Q544" s="3" t="b">
        <f t="shared" ref="Q544:Q546" si="370">getText(I544)=getText(M544)</f>
        <v>1</v>
      </c>
      <c r="R544" s="2" t="b">
        <f t="shared" ref="R544:R546" si="371">getText(J544)=getText(N544)</f>
        <v>1</v>
      </c>
      <c r="S544" s="2" t="b">
        <f t="shared" ref="S544:S546" si="372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67"/>
        <v>0101</v>
      </c>
      <c r="J545" t="str">
        <f t="shared" si="368"/>
        <v>0000</v>
      </c>
      <c r="K545">
        <f t="shared" si="369"/>
        <v>0</v>
      </c>
      <c r="M545" s="21" t="s">
        <v>155</v>
      </c>
      <c r="N545" s="26" t="s">
        <v>910</v>
      </c>
      <c r="O545">
        <v>0</v>
      </c>
      <c r="Q545" s="1" t="b">
        <f t="shared" si="370"/>
        <v>1</v>
      </c>
      <c r="R545" t="b">
        <f t="shared" si="371"/>
        <v>1</v>
      </c>
      <c r="S545" t="b">
        <f t="shared" si="372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67"/>
        <v>0101</v>
      </c>
      <c r="J546" t="str">
        <f t="shared" si="368"/>
        <v>0000</v>
      </c>
      <c r="K546">
        <f t="shared" si="369"/>
        <v>0</v>
      </c>
      <c r="M546" s="21" t="s">
        <v>155</v>
      </c>
      <c r="N546" s="26" t="s">
        <v>910</v>
      </c>
      <c r="O546">
        <v>0</v>
      </c>
      <c r="Q546" s="1" t="b">
        <f t="shared" si="370"/>
        <v>1</v>
      </c>
      <c r="R546" t="b">
        <f t="shared" si="371"/>
        <v>1</v>
      </c>
      <c r="S546" t="b">
        <f t="shared" si="372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73">TESTdivide(E547,F547,G547,H547)</f>
        <v>0101</v>
      </c>
      <c r="J547" s="2" t="str">
        <f t="shared" ref="J547:J549" si="374">TESTdivideByRef1(E547,F547,G547,H547)</f>
        <v>0001</v>
      </c>
      <c r="K547" s="2">
        <f t="shared" ref="K547:K549" si="375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76">getText(I547)=getText(M547)</f>
        <v>1</v>
      </c>
      <c r="R547" s="2" t="b">
        <f t="shared" ref="R547:R549" si="377">getText(J547)=getText(N547)</f>
        <v>1</v>
      </c>
      <c r="S547" s="2" t="b">
        <f t="shared" ref="S547:S549" si="378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73"/>
        <v>0101</v>
      </c>
      <c r="J548" t="str">
        <f t="shared" si="374"/>
        <v>0001</v>
      </c>
      <c r="K548">
        <f t="shared" si="375"/>
        <v>0</v>
      </c>
      <c r="M548" s="21" t="s">
        <v>155</v>
      </c>
      <c r="N548" s="26" t="s">
        <v>429</v>
      </c>
      <c r="O548">
        <v>0</v>
      </c>
      <c r="Q548" s="1" t="b">
        <f t="shared" si="376"/>
        <v>1</v>
      </c>
      <c r="R548" t="b">
        <f t="shared" si="377"/>
        <v>1</v>
      </c>
      <c r="S548" t="b">
        <f t="shared" si="378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73"/>
        <v>0101</v>
      </c>
      <c r="J549" t="str">
        <f t="shared" si="374"/>
        <v>0001</v>
      </c>
      <c r="K549">
        <f t="shared" si="375"/>
        <v>0</v>
      </c>
      <c r="M549" s="21" t="s">
        <v>155</v>
      </c>
      <c r="N549" s="26" t="s">
        <v>429</v>
      </c>
      <c r="O549">
        <v>0</v>
      </c>
      <c r="Q549" s="1" t="b">
        <f t="shared" si="376"/>
        <v>1</v>
      </c>
      <c r="R549" t="b">
        <f t="shared" si="377"/>
        <v>1</v>
      </c>
      <c r="S549" t="b">
        <f t="shared" si="378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79">TESTdivide(E550,F550,G550,H550)</f>
        <v>0101</v>
      </c>
      <c r="J550" s="2" t="str">
        <f t="shared" ref="J550:J551" si="380">TESTdivideByRef1(E550,F550,G550,H550)</f>
        <v>0009</v>
      </c>
      <c r="K550" s="2">
        <f t="shared" ref="K550:K551" si="381">TESTdivideByRef2(E550,F550,G550,H550)</f>
        <v>0</v>
      </c>
      <c r="L550" s="2"/>
      <c r="M550" s="20" t="s">
        <v>155</v>
      </c>
      <c r="N550" s="25" t="s">
        <v>911</v>
      </c>
      <c r="O550" s="2">
        <v>0</v>
      </c>
      <c r="P550" s="2"/>
      <c r="Q550" s="3" t="b">
        <f t="shared" ref="Q550:Q551" si="382">getText(I550)=getText(M550)</f>
        <v>1</v>
      </c>
      <c r="R550" s="2" t="b">
        <f t="shared" ref="R550:R551" si="383">getText(J550)=getText(N550)</f>
        <v>1</v>
      </c>
      <c r="S550" s="2" t="b">
        <f t="shared" ref="S550:S551" si="384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79"/>
        <v>0101</v>
      </c>
      <c r="J551" t="str">
        <f t="shared" si="380"/>
        <v>000F</v>
      </c>
      <c r="K551">
        <f t="shared" si="381"/>
        <v>0</v>
      </c>
      <c r="M551" s="21" t="s">
        <v>155</v>
      </c>
      <c r="N551" s="26" t="s">
        <v>912</v>
      </c>
      <c r="O551">
        <v>0</v>
      </c>
      <c r="Q551" s="1" t="b">
        <f t="shared" si="382"/>
        <v>1</v>
      </c>
      <c r="R551" t="b">
        <f t="shared" si="383"/>
        <v>1</v>
      </c>
      <c r="S551" t="b">
        <f t="shared" si="384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85">TESTdivide(E552,F552,G552,H552)</f>
        <v>0111</v>
      </c>
      <c r="J552" s="2" t="str">
        <f t="shared" ref="J552:J554" si="386">TESTdivideByRef1(E552,F552,G552,H552)</f>
        <v>0000</v>
      </c>
      <c r="K552" s="2">
        <f t="shared" ref="K552:K554" si="387">TESTdivideByRef2(E552,F552,G552,H552)</f>
        <v>0</v>
      </c>
      <c r="L552" s="2"/>
      <c r="M552" s="20" t="s">
        <v>171</v>
      </c>
      <c r="N552" s="25" t="s">
        <v>910</v>
      </c>
      <c r="O552" s="2">
        <v>0</v>
      </c>
      <c r="P552" s="2"/>
      <c r="Q552" s="3" t="b">
        <f t="shared" ref="Q552:Q554" si="388">getText(I552)=getText(M552)</f>
        <v>1</v>
      </c>
      <c r="R552" s="2" t="b">
        <f t="shared" ref="R552:R554" si="389">getText(J552)=getText(N552)</f>
        <v>1</v>
      </c>
      <c r="S552" s="2" t="b">
        <f t="shared" ref="S552:S554" si="390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85"/>
        <v>0111</v>
      </c>
      <c r="J553" t="str">
        <f t="shared" si="386"/>
        <v>0000</v>
      </c>
      <c r="K553">
        <f t="shared" si="387"/>
        <v>0</v>
      </c>
      <c r="M553" s="21" t="s">
        <v>171</v>
      </c>
      <c r="N553" s="26" t="s">
        <v>910</v>
      </c>
      <c r="O553">
        <v>0</v>
      </c>
      <c r="Q553" s="1" t="b">
        <f t="shared" si="388"/>
        <v>1</v>
      </c>
      <c r="R553" t="b">
        <f t="shared" si="389"/>
        <v>1</v>
      </c>
      <c r="S553" t="b">
        <f t="shared" si="390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85"/>
        <v>0111</v>
      </c>
      <c r="J554" t="str">
        <f t="shared" si="386"/>
        <v>0000</v>
      </c>
      <c r="K554">
        <f t="shared" si="387"/>
        <v>0</v>
      </c>
      <c r="M554" s="21" t="s">
        <v>171</v>
      </c>
      <c r="N554" s="26" t="s">
        <v>910</v>
      </c>
      <c r="O554">
        <v>0</v>
      </c>
      <c r="Q554" s="1" t="b">
        <f t="shared" si="388"/>
        <v>1</v>
      </c>
      <c r="R554" t="b">
        <f t="shared" si="389"/>
        <v>1</v>
      </c>
      <c r="S554" t="b">
        <f t="shared" si="390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91">TESTdivide(E555,F555,G555,H555)</f>
        <v>0111</v>
      </c>
      <c r="J555" s="2" t="str">
        <f t="shared" ref="J555:J562" si="392">TESTdivideByRef1(E555,F555,G555,H555)</f>
        <v>0001</v>
      </c>
      <c r="K555" s="2">
        <f t="shared" ref="K555:K562" si="393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394">getText(I555)=getText(M555)</f>
        <v>1</v>
      </c>
      <c r="R555" s="2" t="b">
        <f t="shared" ref="R555:R562" si="395">getText(J555)=getText(N555)</f>
        <v>1</v>
      </c>
      <c r="S555" s="2" t="b">
        <f t="shared" ref="S555:S562" si="396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91"/>
        <v>0111</v>
      </c>
      <c r="J556" t="str">
        <f t="shared" si="392"/>
        <v>0001</v>
      </c>
      <c r="K556">
        <f t="shared" si="393"/>
        <v>0</v>
      </c>
      <c r="M556" s="21" t="s">
        <v>171</v>
      </c>
      <c r="N556" s="26" t="s">
        <v>429</v>
      </c>
      <c r="O556">
        <v>0</v>
      </c>
      <c r="Q556" s="1" t="b">
        <f t="shared" si="394"/>
        <v>1</v>
      </c>
      <c r="R556" t="b">
        <f t="shared" si="395"/>
        <v>1</v>
      </c>
      <c r="S556" t="b">
        <f t="shared" si="396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91"/>
        <v>0111</v>
      </c>
      <c r="J557" t="str">
        <f t="shared" si="392"/>
        <v>0001</v>
      </c>
      <c r="K557">
        <f t="shared" si="393"/>
        <v>0</v>
      </c>
      <c r="M557" s="21" t="s">
        <v>171</v>
      </c>
      <c r="N557" s="26" t="s">
        <v>429</v>
      </c>
      <c r="O557">
        <v>0</v>
      </c>
      <c r="Q557" s="1" t="b">
        <f t="shared" si="394"/>
        <v>1</v>
      </c>
      <c r="R557" t="b">
        <f t="shared" si="395"/>
        <v>1</v>
      </c>
      <c r="S557" t="b">
        <f t="shared" si="396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91"/>
        <v>0111</v>
      </c>
      <c r="J558" s="2" t="str">
        <f t="shared" si="392"/>
        <v>0009</v>
      </c>
      <c r="K558" s="2">
        <f t="shared" si="393"/>
        <v>0</v>
      </c>
      <c r="L558" s="2"/>
      <c r="M558" s="20" t="s">
        <v>171</v>
      </c>
      <c r="N558" s="25" t="s">
        <v>911</v>
      </c>
      <c r="O558" s="2">
        <v>0</v>
      </c>
      <c r="P558" s="2"/>
      <c r="Q558" s="3" t="b">
        <f t="shared" si="394"/>
        <v>1</v>
      </c>
      <c r="R558" s="2" t="b">
        <f t="shared" si="395"/>
        <v>1</v>
      </c>
      <c r="S558" s="2" t="b">
        <f t="shared" si="396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91"/>
        <v>0111</v>
      </c>
      <c r="J559" t="str">
        <f t="shared" si="392"/>
        <v>000F</v>
      </c>
      <c r="K559">
        <f t="shared" si="393"/>
        <v>0</v>
      </c>
      <c r="M559" s="21" t="s">
        <v>171</v>
      </c>
      <c r="N559" s="26" t="s">
        <v>912</v>
      </c>
      <c r="O559">
        <v>0</v>
      </c>
      <c r="Q559" s="1" t="b">
        <f t="shared" si="394"/>
        <v>1</v>
      </c>
      <c r="R559" t="b">
        <f t="shared" si="395"/>
        <v>1</v>
      </c>
      <c r="S559" t="b">
        <f t="shared" si="396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91"/>
        <v>01000</v>
      </c>
      <c r="J560" s="2" t="str">
        <f t="shared" si="392"/>
        <v>00000</v>
      </c>
      <c r="K560" s="2">
        <f t="shared" si="393"/>
        <v>0</v>
      </c>
      <c r="L560" s="2"/>
      <c r="M560" s="20" t="s">
        <v>161</v>
      </c>
      <c r="N560" s="25" t="s">
        <v>913</v>
      </c>
      <c r="O560" s="2">
        <v>0</v>
      </c>
      <c r="P560" s="2"/>
      <c r="Q560" s="3" t="b">
        <f t="shared" si="394"/>
        <v>1</v>
      </c>
      <c r="R560" s="2" t="b">
        <f t="shared" si="395"/>
        <v>1</v>
      </c>
      <c r="S560" s="2" t="b">
        <f t="shared" si="396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91"/>
        <v>01000</v>
      </c>
      <c r="J561" t="str">
        <f t="shared" si="392"/>
        <v>00000</v>
      </c>
      <c r="K561">
        <f t="shared" si="393"/>
        <v>0</v>
      </c>
      <c r="M561" s="21" t="s">
        <v>161</v>
      </c>
      <c r="N561" s="26" t="s">
        <v>913</v>
      </c>
      <c r="O561">
        <v>0</v>
      </c>
      <c r="Q561" s="1" t="b">
        <f t="shared" si="394"/>
        <v>1</v>
      </c>
      <c r="R561" t="b">
        <f t="shared" si="395"/>
        <v>1</v>
      </c>
      <c r="S561" t="b">
        <f t="shared" si="396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91"/>
        <v>01000</v>
      </c>
      <c r="J562" t="str">
        <f t="shared" si="392"/>
        <v>00000</v>
      </c>
      <c r="K562">
        <f t="shared" si="393"/>
        <v>0</v>
      </c>
      <c r="M562" s="21" t="s">
        <v>161</v>
      </c>
      <c r="N562" s="26" t="s">
        <v>913</v>
      </c>
      <c r="O562">
        <v>0</v>
      </c>
      <c r="Q562" s="1" t="b">
        <f t="shared" si="394"/>
        <v>1</v>
      </c>
      <c r="R562" t="b">
        <f t="shared" si="395"/>
        <v>1</v>
      </c>
      <c r="S562" t="b">
        <f t="shared" si="396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397">TESTdivide(E563,F563,G563,H563)</f>
        <v>01000</v>
      </c>
      <c r="J563" s="2" t="str">
        <f t="shared" ref="J563:J567" si="398">TESTdivideByRef1(E563,F563,G563,H563)</f>
        <v>00001</v>
      </c>
      <c r="K563" s="2">
        <f t="shared" ref="K563:K567" si="399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400">getText(I563)=getText(M563)</f>
        <v>1</v>
      </c>
      <c r="R563" s="2" t="b">
        <f t="shared" ref="R563:R567" si="401">getText(J563)=getText(N563)</f>
        <v>1</v>
      </c>
      <c r="S563" s="2" t="b">
        <f t="shared" ref="S563:S567" si="402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397"/>
        <v>01000</v>
      </c>
      <c r="J564" t="str">
        <f t="shared" si="398"/>
        <v>00001</v>
      </c>
      <c r="K564">
        <f t="shared" si="399"/>
        <v>0</v>
      </c>
      <c r="M564" s="21" t="s">
        <v>161</v>
      </c>
      <c r="N564" s="26" t="s">
        <v>501</v>
      </c>
      <c r="O564">
        <v>0</v>
      </c>
      <c r="Q564" s="1" t="b">
        <f t="shared" si="400"/>
        <v>1</v>
      </c>
      <c r="R564" t="b">
        <f t="shared" si="401"/>
        <v>1</v>
      </c>
      <c r="S564" t="b">
        <f t="shared" si="402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397"/>
        <v>01000</v>
      </c>
      <c r="J565" t="str">
        <f t="shared" si="398"/>
        <v>00001</v>
      </c>
      <c r="K565">
        <f t="shared" si="399"/>
        <v>0</v>
      </c>
      <c r="M565" s="21" t="s">
        <v>161</v>
      </c>
      <c r="N565" s="26" t="s">
        <v>501</v>
      </c>
      <c r="O565">
        <v>0</v>
      </c>
      <c r="Q565" s="1" t="b">
        <f t="shared" si="400"/>
        <v>1</v>
      </c>
      <c r="R565" t="b">
        <f t="shared" si="401"/>
        <v>1</v>
      </c>
      <c r="S565" t="b">
        <f t="shared" si="402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397"/>
        <v>01000</v>
      </c>
      <c r="J566" s="2" t="str">
        <f t="shared" si="398"/>
        <v>00009</v>
      </c>
      <c r="K566" s="2">
        <f t="shared" si="399"/>
        <v>0</v>
      </c>
      <c r="L566" s="2"/>
      <c r="M566" s="20" t="s">
        <v>161</v>
      </c>
      <c r="N566" s="25" t="s">
        <v>914</v>
      </c>
      <c r="O566" s="2">
        <v>0</v>
      </c>
      <c r="P566" s="2"/>
      <c r="Q566" s="3" t="b">
        <f t="shared" si="400"/>
        <v>1</v>
      </c>
      <c r="R566" s="2" t="b">
        <f t="shared" si="401"/>
        <v>1</v>
      </c>
      <c r="S566" s="2" t="b">
        <f t="shared" si="402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397"/>
        <v>01000</v>
      </c>
      <c r="J567" t="str">
        <f t="shared" si="398"/>
        <v>0000F</v>
      </c>
      <c r="K567">
        <f t="shared" si="399"/>
        <v>0</v>
      </c>
      <c r="M567" s="21" t="s">
        <v>161</v>
      </c>
      <c r="N567" s="26" t="s">
        <v>915</v>
      </c>
      <c r="O567">
        <v>0</v>
      </c>
      <c r="Q567" s="1" t="b">
        <f t="shared" si="400"/>
        <v>1</v>
      </c>
      <c r="R567" t="b">
        <f t="shared" si="401"/>
        <v>1</v>
      </c>
      <c r="S567" t="b">
        <f t="shared" si="402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403">TESTdivide(E568,F568,G568,H568)</f>
        <v>01001</v>
      </c>
      <c r="J568" s="2" t="str">
        <f t="shared" ref="J568:J575" si="404">TESTdivideByRef1(E568,F568,G568,H568)</f>
        <v>00000</v>
      </c>
      <c r="K568" s="2">
        <f t="shared" ref="K568:K575" si="405">TESTdivideByRef2(E568,F568,G568,H568)</f>
        <v>0</v>
      </c>
      <c r="L568" s="2"/>
      <c r="M568" s="20" t="s">
        <v>173</v>
      </c>
      <c r="N568" s="25" t="s">
        <v>913</v>
      </c>
      <c r="O568" s="2">
        <v>0</v>
      </c>
      <c r="P568" s="2"/>
      <c r="Q568" s="3" t="b">
        <f t="shared" ref="Q568:Q575" si="406">getText(I568)=getText(M568)</f>
        <v>1</v>
      </c>
      <c r="R568" s="2" t="b">
        <f t="shared" ref="R568:R575" si="407">getText(J568)=getText(N568)</f>
        <v>1</v>
      </c>
      <c r="S568" s="2" t="b">
        <f t="shared" ref="S568:S575" si="408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403"/>
        <v>01001</v>
      </c>
      <c r="J569" t="str">
        <f t="shared" si="404"/>
        <v>00000</v>
      </c>
      <c r="K569">
        <f t="shared" si="405"/>
        <v>0</v>
      </c>
      <c r="M569" s="21" t="s">
        <v>173</v>
      </c>
      <c r="N569" s="26" t="s">
        <v>913</v>
      </c>
      <c r="O569">
        <v>0</v>
      </c>
      <c r="Q569" s="1" t="b">
        <f t="shared" si="406"/>
        <v>1</v>
      </c>
      <c r="R569" t="b">
        <f t="shared" si="407"/>
        <v>1</v>
      </c>
      <c r="S569" t="b">
        <f t="shared" si="408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403"/>
        <v>01001</v>
      </c>
      <c r="J570" t="str">
        <f t="shared" si="404"/>
        <v>00000</v>
      </c>
      <c r="K570">
        <f t="shared" si="405"/>
        <v>0</v>
      </c>
      <c r="M570" s="21" t="s">
        <v>173</v>
      </c>
      <c r="N570" s="26" t="s">
        <v>913</v>
      </c>
      <c r="O570">
        <v>0</v>
      </c>
      <c r="Q570" s="1" t="b">
        <f t="shared" si="406"/>
        <v>1</v>
      </c>
      <c r="R570" t="b">
        <f t="shared" si="407"/>
        <v>1</v>
      </c>
      <c r="S570" t="b">
        <f t="shared" si="408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403"/>
        <v>01001</v>
      </c>
      <c r="J571" s="2" t="str">
        <f t="shared" si="404"/>
        <v>00001</v>
      </c>
      <c r="K571" s="2">
        <f t="shared" si="405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406"/>
        <v>1</v>
      </c>
      <c r="R571" s="2" t="b">
        <f t="shared" si="407"/>
        <v>1</v>
      </c>
      <c r="S571" s="2" t="b">
        <f t="shared" si="408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403"/>
        <v>01001</v>
      </c>
      <c r="J572" t="str">
        <f t="shared" si="404"/>
        <v>00001</v>
      </c>
      <c r="K572">
        <f t="shared" si="405"/>
        <v>0</v>
      </c>
      <c r="M572" s="21" t="s">
        <v>173</v>
      </c>
      <c r="N572" s="26" t="s">
        <v>501</v>
      </c>
      <c r="O572">
        <v>0</v>
      </c>
      <c r="Q572" s="1" t="b">
        <f t="shared" si="406"/>
        <v>1</v>
      </c>
      <c r="R572" t="b">
        <f t="shared" si="407"/>
        <v>1</v>
      </c>
      <c r="S572" t="b">
        <f t="shared" si="408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403"/>
        <v>01001</v>
      </c>
      <c r="J573" t="str">
        <f t="shared" si="404"/>
        <v>00001</v>
      </c>
      <c r="K573">
        <f t="shared" si="405"/>
        <v>0</v>
      </c>
      <c r="M573" s="21" t="s">
        <v>173</v>
      </c>
      <c r="N573" s="26" t="s">
        <v>501</v>
      </c>
      <c r="O573">
        <v>0</v>
      </c>
      <c r="Q573" s="1" t="b">
        <f t="shared" si="406"/>
        <v>1</v>
      </c>
      <c r="R573" t="b">
        <f t="shared" si="407"/>
        <v>1</v>
      </c>
      <c r="S573" t="b">
        <f t="shared" si="408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403"/>
        <v>01001</v>
      </c>
      <c r="J574" s="2" t="str">
        <f t="shared" si="404"/>
        <v>00009</v>
      </c>
      <c r="K574" s="2">
        <f t="shared" si="405"/>
        <v>0</v>
      </c>
      <c r="L574" s="2"/>
      <c r="M574" s="20" t="s">
        <v>173</v>
      </c>
      <c r="N574" s="25" t="s">
        <v>914</v>
      </c>
      <c r="O574" s="2">
        <v>0</v>
      </c>
      <c r="P574" s="2"/>
      <c r="Q574" s="3" t="b">
        <f t="shared" si="406"/>
        <v>1</v>
      </c>
      <c r="R574" s="2" t="b">
        <f t="shared" si="407"/>
        <v>1</v>
      </c>
      <c r="S574" s="2" t="b">
        <f t="shared" si="408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403"/>
        <v>01001</v>
      </c>
      <c r="J575" t="str">
        <f t="shared" si="404"/>
        <v>0000F</v>
      </c>
      <c r="K575">
        <f t="shared" si="405"/>
        <v>0</v>
      </c>
      <c r="M575" s="21" t="s">
        <v>173</v>
      </c>
      <c r="N575" s="26" t="s">
        <v>915</v>
      </c>
      <c r="O575">
        <v>0</v>
      </c>
      <c r="Q575" s="1" t="b">
        <f t="shared" si="406"/>
        <v>1</v>
      </c>
      <c r="R575" t="b">
        <f t="shared" si="407"/>
        <v>1</v>
      </c>
      <c r="S575" t="b">
        <f t="shared" si="408"/>
        <v>1</v>
      </c>
    </row>
    <row r="576" spans="2:19" x14ac:dyDescent="0.15">
      <c r="B576" s="2" t="s">
        <v>75</v>
      </c>
      <c r="C576" s="2" t="s">
        <v>922</v>
      </c>
      <c r="D576" s="2" t="s">
        <v>46</v>
      </c>
      <c r="E576" s="11" t="s">
        <v>924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927</v>
      </c>
      <c r="N576" s="25" t="s">
        <v>21</v>
      </c>
      <c r="O576" s="2">
        <v>0</v>
      </c>
      <c r="P576" s="2"/>
      <c r="Q576" s="3" t="b">
        <f t="shared" ref="Q576:Q584" si="409">getText(I576)=getText(M576)</f>
        <v>1</v>
      </c>
      <c r="R576" s="2" t="b">
        <f t="shared" ref="R576:R584" si="410">getText(J576)=getText(N576)</f>
        <v>1</v>
      </c>
      <c r="S576" s="2" t="b">
        <f t="shared" ref="S576:S584" si="411">getText(K576)=getText(O576)</f>
        <v>1</v>
      </c>
    </row>
    <row r="577" spans="2:19" x14ac:dyDescent="0.15">
      <c r="D577" t="s">
        <v>47</v>
      </c>
      <c r="E577" s="9" t="s">
        <v>929</v>
      </c>
      <c r="F577" s="14" t="s">
        <v>80</v>
      </c>
      <c r="G577" s="7">
        <v>10</v>
      </c>
      <c r="H577" s="7">
        <v>-4</v>
      </c>
      <c r="I577" s="1" t="str">
        <f t="shared" ref="I577:I581" si="412">TESTdivide(E577,F577,G577,H577)</f>
        <v>000</v>
      </c>
      <c r="J577" t="str">
        <f t="shared" ref="J577:J581" si="413">TESTdivideByRef1(E577,F577,G577,H577)</f>
        <v>500</v>
      </c>
      <c r="K577">
        <f t="shared" ref="K577:K581" si="414">TESTdivideByRef2(E577,F577,G577,H577)</f>
        <v>0</v>
      </c>
      <c r="M577" s="21" t="s">
        <v>907</v>
      </c>
      <c r="N577" s="26" t="s">
        <v>929</v>
      </c>
      <c r="O577">
        <v>0</v>
      </c>
      <c r="Q577" s="1" t="b">
        <f t="shared" si="409"/>
        <v>1</v>
      </c>
      <c r="R577" t="b">
        <f t="shared" si="410"/>
        <v>1</v>
      </c>
      <c r="S577" t="b">
        <f t="shared" si="411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12"/>
        <v>000</v>
      </c>
      <c r="J578" t="str">
        <f t="shared" si="413"/>
        <v>100</v>
      </c>
      <c r="K578">
        <f t="shared" si="414"/>
        <v>0</v>
      </c>
      <c r="M578" s="21" t="s">
        <v>907</v>
      </c>
      <c r="N578" s="26" t="s">
        <v>21</v>
      </c>
      <c r="O578">
        <v>0</v>
      </c>
      <c r="Q578" s="1" t="b">
        <f t="shared" si="409"/>
        <v>1</v>
      </c>
      <c r="R578" t="b">
        <f t="shared" si="410"/>
        <v>1</v>
      </c>
      <c r="S578" t="b">
        <f t="shared" si="411"/>
        <v>1</v>
      </c>
    </row>
    <row r="579" spans="2:19" x14ac:dyDescent="0.15">
      <c r="C579" s="2" t="s">
        <v>921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12"/>
        <v>000</v>
      </c>
      <c r="J579" s="2" t="str">
        <f t="shared" si="413"/>
        <v>100</v>
      </c>
      <c r="K579" s="2">
        <f t="shared" si="414"/>
        <v>0</v>
      </c>
      <c r="L579" s="2"/>
      <c r="M579" s="3" t="s">
        <v>907</v>
      </c>
      <c r="N579" s="2" t="s">
        <v>21</v>
      </c>
      <c r="O579" s="2">
        <v>0</v>
      </c>
      <c r="P579" s="2"/>
      <c r="Q579" s="3" t="b">
        <f t="shared" si="409"/>
        <v>1</v>
      </c>
      <c r="R579" s="2" t="b">
        <f t="shared" si="410"/>
        <v>1</v>
      </c>
      <c r="S579" s="2" t="b">
        <f t="shared" si="411"/>
        <v>1</v>
      </c>
    </row>
    <row r="580" spans="2:19" x14ac:dyDescent="0.15">
      <c r="D580" t="s">
        <v>47</v>
      </c>
      <c r="E580" s="9" t="s">
        <v>929</v>
      </c>
      <c r="F580" s="14" t="s">
        <v>80</v>
      </c>
      <c r="G580">
        <v>10</v>
      </c>
      <c r="H580" s="7">
        <v>-3</v>
      </c>
      <c r="I580" s="1" t="str">
        <f t="shared" si="412"/>
        <v>000</v>
      </c>
      <c r="J580" t="str">
        <f t="shared" si="413"/>
        <v>500</v>
      </c>
      <c r="K580">
        <f t="shared" si="414"/>
        <v>0</v>
      </c>
      <c r="M580" s="21" t="s">
        <v>907</v>
      </c>
      <c r="N580" s="26" t="s">
        <v>929</v>
      </c>
      <c r="O580">
        <v>0</v>
      </c>
      <c r="Q580" s="1" t="b">
        <f t="shared" si="409"/>
        <v>1</v>
      </c>
      <c r="R580" t="b">
        <f t="shared" si="410"/>
        <v>1</v>
      </c>
      <c r="S580" t="b">
        <f t="shared" si="411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12"/>
        <v>000</v>
      </c>
      <c r="J581" t="str">
        <f t="shared" si="413"/>
        <v>100</v>
      </c>
      <c r="K581">
        <f t="shared" si="414"/>
        <v>0</v>
      </c>
      <c r="M581" s="21" t="s">
        <v>907</v>
      </c>
      <c r="N581" s="26" t="s">
        <v>21</v>
      </c>
      <c r="O581">
        <v>0</v>
      </c>
      <c r="Q581" s="1" t="b">
        <f t="shared" si="409"/>
        <v>1</v>
      </c>
      <c r="R581" t="b">
        <f t="shared" si="410"/>
        <v>1</v>
      </c>
      <c r="S581" t="b">
        <f t="shared" si="411"/>
        <v>1</v>
      </c>
    </row>
    <row r="582" spans="2:19" x14ac:dyDescent="0.15">
      <c r="C582" s="2" t="s">
        <v>923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15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907</v>
      </c>
      <c r="N582" s="2" t="s">
        <v>21</v>
      </c>
      <c r="O582" s="2">
        <v>0</v>
      </c>
      <c r="P582" s="2"/>
      <c r="Q582" s="3" t="b">
        <f t="shared" si="409"/>
        <v>1</v>
      </c>
      <c r="R582" s="2" t="b">
        <f t="shared" si="410"/>
        <v>1</v>
      </c>
      <c r="S582" s="2" t="b">
        <f t="shared" si="411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15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09"/>
        <v>1</v>
      </c>
      <c r="R583" t="b">
        <f t="shared" si="410"/>
        <v>1</v>
      </c>
      <c r="S583" t="b">
        <f t="shared" si="411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15"/>
        <v>000</v>
      </c>
      <c r="J584" t="str">
        <f t="shared" ref="J584" si="416">TESTdivideByRef1(E584,F584,G584,H584)</f>
        <v>100</v>
      </c>
      <c r="K584">
        <f t="shared" ref="K584" si="417">TESTdivideByRef2(E584,F584,G584,H584)</f>
        <v>0</v>
      </c>
      <c r="M584" s="1" t="s">
        <v>907</v>
      </c>
      <c r="N584" t="s">
        <v>21</v>
      </c>
      <c r="O584">
        <v>0</v>
      </c>
      <c r="Q584" s="1" t="b">
        <f t="shared" si="409"/>
        <v>1</v>
      </c>
      <c r="R584" t="b">
        <f t="shared" si="410"/>
        <v>1</v>
      </c>
      <c r="S584" t="b">
        <f t="shared" si="411"/>
        <v>1</v>
      </c>
    </row>
    <row r="585" spans="2:19" x14ac:dyDescent="0.15">
      <c r="B585" s="6"/>
      <c r="C585" s="2" t="s">
        <v>920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15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907</v>
      </c>
      <c r="N585" s="2" t="s">
        <v>21</v>
      </c>
      <c r="O585" s="2">
        <v>0</v>
      </c>
      <c r="P585" s="2"/>
      <c r="Q585" s="3" t="b">
        <f t="shared" ref="Q585:Q587" si="418">getText(I585)=getText(M585)</f>
        <v>1</v>
      </c>
      <c r="R585" s="2" t="b">
        <f t="shared" ref="R585:R587" si="419">getText(J585)=getText(N585)</f>
        <v>1</v>
      </c>
      <c r="S585" s="2" t="b">
        <f t="shared" ref="S585:S587" si="420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15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926</v>
      </c>
      <c r="N586" t="s">
        <v>78</v>
      </c>
      <c r="O586">
        <v>0</v>
      </c>
      <c r="Q586" s="1" t="b">
        <f t="shared" si="418"/>
        <v>1</v>
      </c>
      <c r="R586" t="b">
        <f t="shared" si="419"/>
        <v>1</v>
      </c>
      <c r="S586" t="b">
        <f t="shared" si="420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15"/>
        <v>010</v>
      </c>
      <c r="J587" t="str">
        <f t="shared" ref="J587" si="421">TESTdivideByRef1(E587,F587,G587,H587)</f>
        <v>010</v>
      </c>
      <c r="K587">
        <f t="shared" ref="K587" si="422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18"/>
        <v>1</v>
      </c>
      <c r="R587" t="b">
        <f t="shared" si="419"/>
        <v>1</v>
      </c>
      <c r="S587" t="b">
        <f t="shared" si="420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23">TESTdivide(E588,F588,G588,H588)</f>
        <v>001</v>
      </c>
      <c r="J588" s="2" t="str">
        <f t="shared" ref="J588" si="424">TESTdivideByRef1(E588,F588,G588,H588)</f>
        <v>001</v>
      </c>
      <c r="K588" s="2">
        <f t="shared" ref="K588" si="425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26">getText(I588)=getText(M588)</f>
        <v>1</v>
      </c>
      <c r="R588" s="2" t="b">
        <f t="shared" ref="R588:R589" si="427">getText(J588)=getText(N588)</f>
        <v>1</v>
      </c>
      <c r="S588" s="2" t="b">
        <f t="shared" ref="S588:S589" si="428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29">TESTdivideByRef1(E589,F589,G589,H589)</f>
        <v>001</v>
      </c>
      <c r="K589">
        <f t="shared" ref="K589" si="430">TESTdivideByRef2(E589,F589,G589,H589)</f>
        <v>0</v>
      </c>
      <c r="M589" s="1" t="s">
        <v>925</v>
      </c>
      <c r="N589" t="s">
        <v>81</v>
      </c>
      <c r="O589">
        <v>0</v>
      </c>
      <c r="Q589" s="1" t="b">
        <f t="shared" si="426"/>
        <v>1</v>
      </c>
      <c r="R589" t="b">
        <f t="shared" si="427"/>
        <v>1</v>
      </c>
      <c r="S589" t="b">
        <f t="shared" si="428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31">TESTdivide(E590,F590,G590,H590)</f>
        <v>011</v>
      </c>
      <c r="J590" t="str">
        <f>TESTdivideByRef1(E590,F590,G590,H590)</f>
        <v>001</v>
      </c>
      <c r="K590">
        <f t="shared" ref="K590" si="432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33">getText(I590)=getText(M590)</f>
        <v>1</v>
      </c>
      <c r="R590" t="b">
        <f t="shared" ref="R590:R591" si="434">getText(J590)=getText(N590)</f>
        <v>1</v>
      </c>
      <c r="S590" t="b">
        <f t="shared" ref="S590:S591" si="435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36">TESTdivide(E591,F591,G591,H591)</f>
        <v>001</v>
      </c>
      <c r="J591" s="2" t="str">
        <f t="shared" ref="J591:J594" si="437">TESTdivideByRef1(E591,F591,G591,H591)</f>
        <v>001</v>
      </c>
      <c r="K591" s="2">
        <f t="shared" ref="K591:K594" si="438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33"/>
        <v>1</v>
      </c>
      <c r="R591" s="2" t="b">
        <f t="shared" si="434"/>
        <v>1</v>
      </c>
      <c r="S591" s="2" t="b">
        <f t="shared" si="435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39">TESTdivide(E592,F592,G592,H592)</f>
        <v>0010</v>
      </c>
      <c r="J592" s="6" t="str">
        <f t="shared" ref="J592" si="440">TESTdivideByRef1(E592,F592,G592,H592)</f>
        <v>0010</v>
      </c>
      <c r="K592" s="6">
        <f t="shared" ref="K592" si="441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42">getText(I592)=getText(M592)</f>
        <v>1</v>
      </c>
      <c r="R592" s="6" t="b">
        <f t="shared" ref="R592:R593" si="443">getText(J592)=getText(N592)</f>
        <v>1</v>
      </c>
      <c r="S592" s="6" t="b">
        <f t="shared" ref="S592:S593" si="444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36"/>
        <v>03</v>
      </c>
      <c r="J593" t="str">
        <f t="shared" si="437"/>
        <v>01</v>
      </c>
      <c r="K593">
        <f t="shared" si="438"/>
        <v>0</v>
      </c>
      <c r="M593" s="1" t="s">
        <v>189</v>
      </c>
      <c r="N593" s="23" t="s">
        <v>231</v>
      </c>
      <c r="O593">
        <v>0</v>
      </c>
      <c r="Q593" s="1" t="b">
        <f t="shared" si="442"/>
        <v>1</v>
      </c>
      <c r="R593" t="b">
        <f t="shared" si="443"/>
        <v>1</v>
      </c>
      <c r="S593" t="b">
        <f t="shared" si="444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36"/>
        <v>05</v>
      </c>
      <c r="J594" t="str">
        <f t="shared" si="437"/>
        <v>05</v>
      </c>
      <c r="K594">
        <f t="shared" si="438"/>
        <v>0</v>
      </c>
      <c r="M594" s="1" t="s">
        <v>190</v>
      </c>
      <c r="N594" s="23" t="s">
        <v>190</v>
      </c>
      <c r="O594">
        <v>0</v>
      </c>
      <c r="Q594" s="1" t="b">
        <f t="shared" ref="Q594" si="445">getText(I594)=getText(M594)</f>
        <v>1</v>
      </c>
      <c r="R594" t="b">
        <f t="shared" ref="R594" si="446">getText(J594)=getText(N594)</f>
        <v>1</v>
      </c>
      <c r="S594" t="b">
        <f t="shared" ref="S594" si="447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916</v>
      </c>
      <c r="O595" s="2">
        <v>0</v>
      </c>
      <c r="P595" s="2"/>
      <c r="Q595" s="3" t="b">
        <f t="shared" ref="Q595:Q598" si="448">getText(I595)=getText(M595)</f>
        <v>1</v>
      </c>
      <c r="R595" s="2" t="b">
        <f t="shared" ref="R595:R598" si="449">getText(J595)=getText(N595)</f>
        <v>1</v>
      </c>
      <c r="S595" s="2" t="b">
        <f t="shared" ref="S595:S598" si="450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51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52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53">TESTdivideByRef2(E596,F596,G596,H596)</f>
        <v>0</v>
      </c>
      <c r="L596" s="6"/>
      <c r="M596" s="1" t="s">
        <v>185</v>
      </c>
      <c r="N596" s="6" t="s">
        <v>917</v>
      </c>
      <c r="O596" s="6">
        <v>0</v>
      </c>
      <c r="P596" s="6"/>
      <c r="Q596" s="1" t="b">
        <f t="shared" ref="Q596" si="454">getText(I596)=getText(M596)</f>
        <v>1</v>
      </c>
      <c r="R596" s="6" t="b">
        <f t="shared" ref="R596" si="455">getText(J596)=getText(N596)</f>
        <v>1</v>
      </c>
      <c r="S596" s="6" t="b">
        <f t="shared" ref="S596" si="456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918</v>
      </c>
      <c r="O597">
        <v>0</v>
      </c>
      <c r="Q597" s="1" t="b">
        <f t="shared" si="448"/>
        <v>1</v>
      </c>
      <c r="R597" t="b">
        <f t="shared" si="449"/>
        <v>1</v>
      </c>
      <c r="S597" t="b">
        <f t="shared" si="450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919</v>
      </c>
      <c r="O598">
        <v>0</v>
      </c>
      <c r="Q598" s="1" t="b">
        <f t="shared" si="448"/>
        <v>1</v>
      </c>
      <c r="R598" t="b">
        <f t="shared" si="449"/>
        <v>1</v>
      </c>
      <c r="S598" t="b">
        <f t="shared" si="450"/>
        <v>1</v>
      </c>
    </row>
    <row r="599" spans="2:19" x14ac:dyDescent="0.15">
      <c r="B599" s="2" t="s">
        <v>930</v>
      </c>
      <c r="C599" s="2" t="s">
        <v>178</v>
      </c>
      <c r="D599" s="2" t="s">
        <v>46</v>
      </c>
      <c r="E599" s="11" t="s">
        <v>924</v>
      </c>
      <c r="F599" s="13" t="s">
        <v>931</v>
      </c>
      <c r="G599" s="2">
        <v>2</v>
      </c>
      <c r="H599" s="24">
        <v>0</v>
      </c>
      <c r="I599" s="3" t="str">
        <f t="shared" ref="I599" si="457">TESTdivide(E599,F599,G599,H599)</f>
        <v>001</v>
      </c>
      <c r="J599" s="2" t="str">
        <f t="shared" ref="J599" si="458">TESTdivideByRef1(E599,F599,G599,H599)</f>
        <v>001</v>
      </c>
      <c r="K599" s="2">
        <f t="shared" ref="K599" si="459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60">getText(I599)=getText(M599)</f>
        <v>1</v>
      </c>
      <c r="R599" s="2" t="b">
        <f t="shared" ref="R599:R601" si="461">getText(J599)=getText(N599)</f>
        <v>1</v>
      </c>
      <c r="S599" s="2" t="b">
        <f t="shared" ref="S599:S601" si="462">getText(K599)=getText(O599)</f>
        <v>1</v>
      </c>
    </row>
    <row r="600" spans="2:19" x14ac:dyDescent="0.15">
      <c r="D600" t="s">
        <v>47</v>
      </c>
      <c r="E600" s="9" t="s">
        <v>924</v>
      </c>
      <c r="F600" s="17" t="s">
        <v>928</v>
      </c>
      <c r="G600" s="7">
        <v>10</v>
      </c>
      <c r="H600" s="7">
        <v>0</v>
      </c>
      <c r="I600" s="1" t="str">
        <f t="shared" ref="I600:I602" si="463">TESTdivide(E600,F600,G600,H600)</f>
        <v>033</v>
      </c>
      <c r="J600" t="str">
        <f t="shared" ref="J600:J602" si="464">TESTdivideByRef1(E600,F600,G600,H600)</f>
        <v>001</v>
      </c>
      <c r="K600">
        <f t="shared" ref="K600:K602" si="465">TESTdivideByRef2(E600,F600,G600,H600)</f>
        <v>0</v>
      </c>
      <c r="M600" s="1" t="s">
        <v>925</v>
      </c>
      <c r="N600" t="s">
        <v>81</v>
      </c>
      <c r="O600">
        <v>0</v>
      </c>
      <c r="Q600" s="1" t="b">
        <f t="shared" si="460"/>
        <v>1</v>
      </c>
      <c r="R600" t="b">
        <f t="shared" si="461"/>
        <v>1</v>
      </c>
      <c r="S600" t="b">
        <f t="shared" si="462"/>
        <v>1</v>
      </c>
    </row>
    <row r="601" spans="2:19" x14ac:dyDescent="0.15">
      <c r="D601" t="s">
        <v>49</v>
      </c>
      <c r="E601" s="9" t="s">
        <v>924</v>
      </c>
      <c r="F601" s="17" t="s">
        <v>932</v>
      </c>
      <c r="G601" s="7">
        <v>16</v>
      </c>
      <c r="H601" s="7">
        <v>0</v>
      </c>
      <c r="I601" s="1" t="str">
        <f t="shared" si="463"/>
        <v>017</v>
      </c>
      <c r="J601" t="str">
        <f t="shared" si="464"/>
        <v>003</v>
      </c>
      <c r="K601">
        <f t="shared" si="465"/>
        <v>0</v>
      </c>
      <c r="M601" s="1" t="s">
        <v>933</v>
      </c>
      <c r="N601" t="s">
        <v>934</v>
      </c>
      <c r="O601">
        <v>0</v>
      </c>
      <c r="Q601" s="1" t="b">
        <f t="shared" si="460"/>
        <v>1</v>
      </c>
      <c r="R601" t="b">
        <f t="shared" si="461"/>
        <v>1</v>
      </c>
      <c r="S601" t="b">
        <f t="shared" si="462"/>
        <v>1</v>
      </c>
    </row>
    <row r="602" spans="2:19" x14ac:dyDescent="0.15">
      <c r="C602" s="2" t="s">
        <v>694</v>
      </c>
      <c r="D602" s="2" t="s">
        <v>46</v>
      </c>
      <c r="E602" s="11" t="s">
        <v>935</v>
      </c>
      <c r="F602" s="13" t="s">
        <v>936</v>
      </c>
      <c r="G602" s="2">
        <v>2</v>
      </c>
      <c r="H602" s="24">
        <v>0</v>
      </c>
      <c r="I602" s="3" t="str">
        <f t="shared" si="463"/>
        <v>0001</v>
      </c>
      <c r="J602" s="2" t="str">
        <f t="shared" si="464"/>
        <v>0011</v>
      </c>
      <c r="K602" s="2">
        <f t="shared" si="465"/>
        <v>0</v>
      </c>
      <c r="L602" s="2"/>
      <c r="M602" s="3" t="s">
        <v>429</v>
      </c>
      <c r="N602" s="2" t="s">
        <v>945</v>
      </c>
      <c r="O602" s="2">
        <v>0</v>
      </c>
      <c r="P602" s="2"/>
      <c r="Q602" s="3" t="b">
        <f t="shared" ref="Q602:Q604" si="466">getText(I602)=getText(M602)</f>
        <v>1</v>
      </c>
      <c r="R602" s="2" t="b">
        <f t="shared" ref="R602:R604" si="467">getText(J602)=getText(N602)</f>
        <v>1</v>
      </c>
      <c r="S602" s="2" t="b">
        <f t="shared" ref="S602:S604" si="468">getText(K602)=getText(O602)</f>
        <v>1</v>
      </c>
    </row>
    <row r="603" spans="2:19" x14ac:dyDescent="0.15">
      <c r="D603" t="s">
        <v>47</v>
      </c>
      <c r="E603" s="9" t="s">
        <v>940</v>
      </c>
      <c r="F603" s="17" t="s">
        <v>938</v>
      </c>
      <c r="G603" s="7">
        <v>10</v>
      </c>
      <c r="H603" s="7">
        <v>0</v>
      </c>
      <c r="I603" s="1" t="str">
        <f t="shared" ref="I603:I604" si="469">TESTdivide(E603,F603,G603,H603)</f>
        <v>004</v>
      </c>
      <c r="J603" t="str">
        <f t="shared" ref="J603:J604" si="470">TESTdivideByRef1(E603,F603,G603,H603)</f>
        <v>024</v>
      </c>
      <c r="K603">
        <f t="shared" ref="K603:K604" si="471">TESTdivideByRef2(E603,F603,G603,H603)</f>
        <v>0</v>
      </c>
      <c r="M603" s="1" t="s">
        <v>946</v>
      </c>
      <c r="N603" t="s">
        <v>947</v>
      </c>
      <c r="O603">
        <v>0</v>
      </c>
      <c r="Q603" s="1" t="b">
        <f t="shared" si="466"/>
        <v>1</v>
      </c>
      <c r="R603" t="b">
        <f t="shared" si="467"/>
        <v>1</v>
      </c>
      <c r="S603" t="b">
        <f t="shared" si="468"/>
        <v>1</v>
      </c>
    </row>
    <row r="604" spans="2:19" x14ac:dyDescent="0.15">
      <c r="D604" t="s">
        <v>49</v>
      </c>
      <c r="E604" s="9" t="s">
        <v>944</v>
      </c>
      <c r="F604" s="17" t="s">
        <v>942</v>
      </c>
      <c r="G604" s="7">
        <v>16</v>
      </c>
      <c r="H604" s="7">
        <v>0</v>
      </c>
      <c r="I604" s="1" t="str">
        <f t="shared" si="469"/>
        <v>0010</v>
      </c>
      <c r="J604" t="str">
        <f t="shared" si="470"/>
        <v>00FD</v>
      </c>
      <c r="K604">
        <f t="shared" si="471"/>
        <v>0</v>
      </c>
      <c r="M604" s="1" t="s">
        <v>79</v>
      </c>
      <c r="N604" t="s">
        <v>948</v>
      </c>
      <c r="O604">
        <v>0</v>
      </c>
      <c r="Q604" s="1" t="b">
        <f t="shared" si="466"/>
        <v>1</v>
      </c>
      <c r="R604" t="b">
        <f t="shared" si="467"/>
        <v>1</v>
      </c>
      <c r="S604" t="b">
        <f t="shared" si="468"/>
        <v>1</v>
      </c>
    </row>
    <row r="605" spans="2:19" x14ac:dyDescent="0.15">
      <c r="C605" s="2" t="s">
        <v>949</v>
      </c>
      <c r="D605" s="2" t="s">
        <v>46</v>
      </c>
      <c r="E605" s="11" t="s">
        <v>950</v>
      </c>
      <c r="F605" s="13" t="s">
        <v>263</v>
      </c>
      <c r="G605" s="2">
        <v>2</v>
      </c>
      <c r="H605" s="24">
        <v>-1</v>
      </c>
      <c r="I605" s="3" t="str">
        <f t="shared" ref="I605:I609" si="472">TESTdivide(E605,F605,G605,H605)</f>
        <v>00010</v>
      </c>
      <c r="J605" s="2" t="str">
        <f t="shared" ref="J605:J609" si="473">TESTdivideByRef1(E605,F605,G605,H605)</f>
        <v>00110</v>
      </c>
      <c r="K605" s="2">
        <f t="shared" ref="K605:K610" si="474">TESTdivideByRef2(E605,F605,G605,H605)</f>
        <v>0</v>
      </c>
      <c r="L605" s="2"/>
      <c r="M605" s="3" t="s">
        <v>953</v>
      </c>
      <c r="N605" s="2" t="s">
        <v>954</v>
      </c>
      <c r="O605" s="2">
        <v>0</v>
      </c>
      <c r="P605" s="2"/>
      <c r="Q605" s="3" t="b">
        <f t="shared" ref="Q605:Q610" si="475">getText(I605)=getText(M605)</f>
        <v>1</v>
      </c>
      <c r="R605" s="2" t="b">
        <f t="shared" ref="R605:R610" si="476">getText(J605)=getText(N605)</f>
        <v>1</v>
      </c>
      <c r="S605" s="2" t="b">
        <f t="shared" ref="S605:S610" si="477">getText(K605)=getText(O605)</f>
        <v>1</v>
      </c>
    </row>
    <row r="606" spans="2:19" x14ac:dyDescent="0.15">
      <c r="D606" t="s">
        <v>47</v>
      </c>
      <c r="E606" s="9" t="s">
        <v>951</v>
      </c>
      <c r="F606" s="17" t="s">
        <v>937</v>
      </c>
      <c r="G606" s="7">
        <v>10</v>
      </c>
      <c r="H606" s="7">
        <v>-1</v>
      </c>
      <c r="I606" s="1" t="str">
        <f t="shared" si="472"/>
        <v>0040</v>
      </c>
      <c r="J606" t="str">
        <f t="shared" si="473"/>
        <v>0240</v>
      </c>
      <c r="K606">
        <f t="shared" si="474"/>
        <v>0</v>
      </c>
      <c r="M606" s="1" t="s">
        <v>955</v>
      </c>
      <c r="N606" t="s">
        <v>956</v>
      </c>
      <c r="O606">
        <v>0</v>
      </c>
      <c r="Q606" s="1" t="b">
        <f t="shared" si="475"/>
        <v>1</v>
      </c>
      <c r="R606" t="b">
        <f t="shared" si="476"/>
        <v>1</v>
      </c>
      <c r="S606" t="b">
        <f t="shared" si="477"/>
        <v>1</v>
      </c>
    </row>
    <row r="607" spans="2:19" x14ac:dyDescent="0.15">
      <c r="D607" t="s">
        <v>49</v>
      </c>
      <c r="E607" s="9" t="s">
        <v>952</v>
      </c>
      <c r="F607" s="17" t="s">
        <v>941</v>
      </c>
      <c r="G607" s="7">
        <v>16</v>
      </c>
      <c r="H607" s="7">
        <v>-1</v>
      </c>
      <c r="I607" s="1" t="str">
        <f t="shared" si="472"/>
        <v>00100</v>
      </c>
      <c r="J607" t="str">
        <f t="shared" si="473"/>
        <v>00FD0</v>
      </c>
      <c r="K607">
        <f t="shared" si="474"/>
        <v>0</v>
      </c>
      <c r="M607" s="1" t="s">
        <v>491</v>
      </c>
      <c r="N607" t="s">
        <v>957</v>
      </c>
      <c r="O607">
        <v>0</v>
      </c>
      <c r="Q607" s="1" t="b">
        <f t="shared" si="475"/>
        <v>1</v>
      </c>
      <c r="R607" t="b">
        <f t="shared" si="476"/>
        <v>1</v>
      </c>
      <c r="S607" t="b">
        <f t="shared" si="477"/>
        <v>1</v>
      </c>
    </row>
    <row r="608" spans="2:19" x14ac:dyDescent="0.15">
      <c r="C608" s="2" t="s">
        <v>958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72"/>
        <v>000110</v>
      </c>
      <c r="J608" s="2" t="str">
        <f t="shared" si="473"/>
        <v>000010</v>
      </c>
      <c r="K608" s="2">
        <f t="shared" si="474"/>
        <v>0</v>
      </c>
      <c r="L608" s="2"/>
      <c r="M608" s="3" t="s">
        <v>961</v>
      </c>
      <c r="N608" s="2" t="s">
        <v>962</v>
      </c>
      <c r="O608" s="2">
        <v>0</v>
      </c>
      <c r="P608" s="2"/>
      <c r="Q608" s="3" t="b">
        <f t="shared" si="475"/>
        <v>1</v>
      </c>
      <c r="R608" s="2" t="b">
        <f t="shared" si="476"/>
        <v>1</v>
      </c>
      <c r="S608" s="2" t="b">
        <f t="shared" si="477"/>
        <v>1</v>
      </c>
    </row>
    <row r="609" spans="1:19" x14ac:dyDescent="0.15">
      <c r="D609" t="s">
        <v>47</v>
      </c>
      <c r="E609" s="9" t="s">
        <v>939</v>
      </c>
      <c r="F609" s="17" t="s">
        <v>937</v>
      </c>
      <c r="G609" s="7">
        <v>10</v>
      </c>
      <c r="H609" s="7">
        <v>1</v>
      </c>
      <c r="I609" s="1" t="str">
        <f t="shared" si="472"/>
        <v>0049</v>
      </c>
      <c r="J609" t="str">
        <f t="shared" si="473"/>
        <v>0015</v>
      </c>
      <c r="K609">
        <f t="shared" si="474"/>
        <v>0</v>
      </c>
      <c r="M609" s="1" t="s">
        <v>959</v>
      </c>
      <c r="N609" t="s">
        <v>960</v>
      </c>
      <c r="O609">
        <v>0</v>
      </c>
      <c r="Q609" s="1" t="b">
        <f t="shared" si="475"/>
        <v>1</v>
      </c>
      <c r="R609" t="b">
        <f t="shared" si="476"/>
        <v>1</v>
      </c>
      <c r="S609" t="b">
        <f t="shared" si="477"/>
        <v>1</v>
      </c>
    </row>
    <row r="610" spans="1:19" x14ac:dyDescent="0.15">
      <c r="D610" t="s">
        <v>49</v>
      </c>
      <c r="E610" s="9" t="s">
        <v>943</v>
      </c>
      <c r="F610" s="17" t="s">
        <v>941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74"/>
        <v>0</v>
      </c>
      <c r="M610" s="1" t="s">
        <v>963</v>
      </c>
      <c r="N610" t="s">
        <v>964</v>
      </c>
      <c r="O610">
        <v>0</v>
      </c>
      <c r="Q610" s="1" t="b">
        <f t="shared" si="475"/>
        <v>1</v>
      </c>
      <c r="R610" t="b">
        <f t="shared" si="476"/>
        <v>1</v>
      </c>
      <c r="S610" t="b">
        <f t="shared" si="477"/>
        <v>1</v>
      </c>
    </row>
    <row r="611" spans="1:19" s="2" customFormat="1" x14ac:dyDescent="0.15">
      <c r="A611" s="2" t="s">
        <v>899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78">TESTconvRadixOfInt(E611,F611,G611)</f>
        <v>0</v>
      </c>
      <c r="M611" s="3" t="s">
        <v>14</v>
      </c>
      <c r="Q611" s="3" t="b">
        <f t="shared" ref="Q611:Q619" si="479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78"/>
        <v>10</v>
      </c>
      <c r="M612" s="1" t="s">
        <v>15</v>
      </c>
      <c r="Q612" s="1" t="b">
        <f t="shared" si="479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78"/>
        <v>10</v>
      </c>
      <c r="M613" s="1" t="s">
        <v>15</v>
      </c>
      <c r="Q613" s="1" t="b">
        <f t="shared" si="479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78"/>
        <v>0</v>
      </c>
      <c r="M614" s="1" t="s">
        <v>14</v>
      </c>
      <c r="Q614" s="1" t="b">
        <f t="shared" si="479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78"/>
        <v>10</v>
      </c>
      <c r="M615" s="1" t="s">
        <v>15</v>
      </c>
      <c r="Q615" s="1" t="b">
        <f t="shared" si="479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78"/>
        <v>10</v>
      </c>
      <c r="M616" s="1" t="s">
        <v>15</v>
      </c>
      <c r="Q616" s="1" t="b">
        <f t="shared" si="479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78"/>
        <v>0</v>
      </c>
      <c r="M617" s="1" t="s">
        <v>14</v>
      </c>
      <c r="Q617" s="1" t="b">
        <f t="shared" si="479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78"/>
        <v>10</v>
      </c>
      <c r="M618" s="1" t="s">
        <v>15</v>
      </c>
      <c r="Q618" s="1" t="b">
        <f t="shared" si="479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78"/>
        <v>10</v>
      </c>
      <c r="M619" s="1" t="s">
        <v>15</v>
      </c>
      <c r="Q619" s="1" t="b">
        <f t="shared" si="479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78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80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78"/>
        <v>23</v>
      </c>
      <c r="M621" s="1" t="s">
        <v>17</v>
      </c>
      <c r="Q621" s="1" t="b">
        <f t="shared" si="480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78"/>
        <v>11</v>
      </c>
      <c r="M622" s="1" t="s">
        <v>18</v>
      </c>
      <c r="Q622" s="1" t="b">
        <f t="shared" si="480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78"/>
        <v>10001</v>
      </c>
      <c r="M623" s="1" t="s">
        <v>16</v>
      </c>
      <c r="Q623" s="1" t="b">
        <f t="shared" ref="Q623:Q625" si="481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78"/>
        <v>23</v>
      </c>
      <c r="M624" s="1" t="s">
        <v>17</v>
      </c>
      <c r="Q624" s="1" t="b">
        <f t="shared" si="481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78"/>
        <v>11</v>
      </c>
      <c r="M625" s="1" t="s">
        <v>18</v>
      </c>
      <c r="Q625" s="1" t="b">
        <f t="shared" si="481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78"/>
        <v>10001</v>
      </c>
      <c r="M626" s="1" t="s">
        <v>16</v>
      </c>
      <c r="Q626" s="1" t="b">
        <f t="shared" ref="Q626:Q628" si="482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78"/>
        <v>23</v>
      </c>
      <c r="M627" s="1" t="s">
        <v>17</v>
      </c>
      <c r="Q627" s="1" t="b">
        <f t="shared" si="482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78"/>
        <v>11</v>
      </c>
      <c r="M628" s="1" t="s">
        <v>18</v>
      </c>
      <c r="Q628" s="1" t="b">
        <f t="shared" si="482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78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83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78"/>
        <v>66</v>
      </c>
      <c r="M630" s="1" t="s">
        <v>20</v>
      </c>
      <c r="Q630" s="1" t="b">
        <f t="shared" ref="Q630" si="484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78"/>
        <v>FF</v>
      </c>
      <c r="M631" s="1" t="s">
        <v>22</v>
      </c>
      <c r="Q631" s="1" t="b">
        <f t="shared" ref="Q631" si="485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78"/>
        <v>11</v>
      </c>
      <c r="M632" s="1" t="s">
        <v>18</v>
      </c>
      <c r="Q632" s="1" t="b">
        <f t="shared" ref="Q632:Q637" si="486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78"/>
        <v>66</v>
      </c>
      <c r="M633" s="1" t="s">
        <v>20</v>
      </c>
      <c r="Q633" s="1" t="b">
        <f t="shared" si="486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78"/>
        <v>FF</v>
      </c>
      <c r="M634" s="1" t="s">
        <v>22</v>
      </c>
      <c r="Q634" s="1" t="b">
        <f t="shared" si="486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78"/>
        <v>11</v>
      </c>
      <c r="M635" s="1" t="s">
        <v>18</v>
      </c>
      <c r="Q635" s="1" t="b">
        <f t="shared" si="486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78"/>
        <v>66</v>
      </c>
      <c r="M636" s="1" t="s">
        <v>20</v>
      </c>
      <c r="Q636" s="1" t="b">
        <f t="shared" si="486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78"/>
        <v>FF</v>
      </c>
      <c r="M637" s="1" t="s">
        <v>22</v>
      </c>
      <c r="Q637" s="1" t="b">
        <f t="shared" si="486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78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87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78"/>
        <v>100</v>
      </c>
      <c r="M639" s="1" t="s">
        <v>21</v>
      </c>
      <c r="Q639" s="1" t="b">
        <f t="shared" ref="Q639" si="488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78"/>
        <v>100</v>
      </c>
      <c r="M640" s="1" t="s">
        <v>21</v>
      </c>
      <c r="Q640" s="1" t="b">
        <f t="shared" ref="Q640" si="489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78"/>
        <v>100</v>
      </c>
      <c r="M641" s="1" t="s">
        <v>21</v>
      </c>
      <c r="Q641" s="1" t="b">
        <f t="shared" ref="Q641:Q643" si="490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78"/>
        <v>100</v>
      </c>
      <c r="M642" s="1" t="s">
        <v>21</v>
      </c>
      <c r="Q642" s="1" t="b">
        <f t="shared" si="490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91">TESTconvRadixOfInt(E643,F643,G643)</f>
        <v>100</v>
      </c>
      <c r="M643" s="1" t="s">
        <v>21</v>
      </c>
      <c r="Q643" s="1" t="b">
        <f t="shared" si="490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91"/>
        <v>100</v>
      </c>
      <c r="M644" s="1" t="s">
        <v>21</v>
      </c>
      <c r="Q644" s="1" t="b">
        <f t="shared" ref="Q644:Q646" si="492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91"/>
        <v>100</v>
      </c>
      <c r="M645" s="1" t="s">
        <v>21</v>
      </c>
      <c r="Q645" s="1" t="b">
        <f t="shared" si="492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91"/>
        <v>100</v>
      </c>
      <c r="M646" s="1" t="s">
        <v>21</v>
      </c>
      <c r="Q646" s="1" t="b">
        <f t="shared" si="492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91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493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91"/>
        <v>666</v>
      </c>
      <c r="M648" s="1" t="s">
        <v>32</v>
      </c>
      <c r="Q648" s="1" t="b">
        <f t="shared" si="493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91"/>
        <v>FFF</v>
      </c>
      <c r="M649" s="1" t="s">
        <v>33</v>
      </c>
      <c r="Q649" s="1" t="b">
        <f t="shared" si="493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91"/>
        <v>111</v>
      </c>
      <c r="M650" s="1" t="s">
        <v>31</v>
      </c>
      <c r="Q650" s="1" t="b">
        <f t="shared" ref="Q650:Q664" si="494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91"/>
        <v>666</v>
      </c>
      <c r="M651" s="1" t="s">
        <v>32</v>
      </c>
      <c r="Q651" s="1" t="b">
        <f t="shared" si="494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91"/>
        <v>FFF</v>
      </c>
      <c r="M652" s="1" t="s">
        <v>33</v>
      </c>
      <c r="Q652" s="1" t="b">
        <f t="shared" si="494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91"/>
        <v>111</v>
      </c>
      <c r="M653" s="1" t="s">
        <v>31</v>
      </c>
      <c r="Q653" s="1" t="b">
        <f t="shared" si="494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91"/>
        <v>666</v>
      </c>
      <c r="M654" s="1" t="s">
        <v>32</v>
      </c>
      <c r="Q654" s="1" t="b">
        <f t="shared" si="494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91"/>
        <v>FFF</v>
      </c>
      <c r="M655" s="1" t="s">
        <v>33</v>
      </c>
      <c r="Q655" s="1" t="b">
        <f t="shared" si="494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91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494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91"/>
        <v>1000</v>
      </c>
      <c r="M657" s="1" t="s">
        <v>34</v>
      </c>
      <c r="Q657" s="1" t="b">
        <f t="shared" si="494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91"/>
        <v>1000</v>
      </c>
      <c r="M658" s="1" t="s">
        <v>34</v>
      </c>
      <c r="Q658" s="1" t="b">
        <f t="shared" si="494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91"/>
        <v>1000</v>
      </c>
      <c r="M659" s="1" t="s">
        <v>34</v>
      </c>
      <c r="Q659" s="1" t="b">
        <f t="shared" si="494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91"/>
        <v>1000</v>
      </c>
      <c r="M660" s="1" t="s">
        <v>34</v>
      </c>
      <c r="Q660" s="1" t="b">
        <f t="shared" si="494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91"/>
        <v>1000</v>
      </c>
      <c r="M661" s="1" t="s">
        <v>34</v>
      </c>
      <c r="Q661" s="1" t="b">
        <f t="shared" si="494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91"/>
        <v>1000</v>
      </c>
      <c r="M662" s="1" t="s">
        <v>34</v>
      </c>
      <c r="Q662" s="1" t="b">
        <f t="shared" si="494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91"/>
        <v>1000</v>
      </c>
      <c r="M663" s="1" t="s">
        <v>34</v>
      </c>
      <c r="Q663" s="1" t="b">
        <f t="shared" si="494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91"/>
        <v>1000</v>
      </c>
      <c r="M664" s="1" t="s">
        <v>34</v>
      </c>
      <c r="Q664" s="1" t="b">
        <f t="shared" si="494"/>
        <v>1</v>
      </c>
      <c r="R664" s="6"/>
    </row>
    <row r="665" spans="1:18" x14ac:dyDescent="0.15">
      <c r="A665" s="2" t="s">
        <v>900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495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496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495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496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495"/>
        <v>0</v>
      </c>
      <c r="M667" s="1" t="s">
        <v>14</v>
      </c>
      <c r="Q667" s="1" t="b">
        <f t="shared" si="496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495"/>
        <v>0</v>
      </c>
      <c r="M668" s="1" t="s">
        <v>14</v>
      </c>
      <c r="Q668" s="1" t="b">
        <f t="shared" si="496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495"/>
        <v>0</v>
      </c>
      <c r="M669" s="1" t="s">
        <v>14</v>
      </c>
      <c r="Q669" s="1" t="b">
        <f t="shared" si="496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495"/>
        <v/>
      </c>
      <c r="Q670" s="1" t="b">
        <f t="shared" si="496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495"/>
        <v>0</v>
      </c>
      <c r="M671" s="1" t="s">
        <v>14</v>
      </c>
      <c r="Q671" s="1" t="b">
        <f t="shared" si="496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495"/>
        <v/>
      </c>
      <c r="Q672" s="1" t="b">
        <f t="shared" ref="Q672" si="497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495"/>
        <v>0</v>
      </c>
      <c r="M673" s="1" t="s">
        <v>14</v>
      </c>
      <c r="Q673" s="1" t="b">
        <f t="shared" si="496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495"/>
        <v>0</v>
      </c>
      <c r="M674" s="1" t="s">
        <v>14</v>
      </c>
      <c r="Q674" s="1" t="b">
        <f t="shared" si="496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495"/>
        <v>0</v>
      </c>
      <c r="M675" s="1" t="s">
        <v>14</v>
      </c>
      <c r="Q675" s="1" t="b">
        <f t="shared" si="496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495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498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495"/>
        <v>3333333333</v>
      </c>
      <c r="M677" s="1" t="s">
        <v>425</v>
      </c>
      <c r="Q677" s="1" t="b">
        <f t="shared" ref="Q677" si="499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495"/>
        <v>8</v>
      </c>
      <c r="M678" s="1" t="s">
        <v>426</v>
      </c>
      <c r="Q678" s="1" t="b">
        <f t="shared" ref="Q678" si="500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495"/>
        <v>0010010010</v>
      </c>
      <c r="M679" s="1" t="s">
        <v>427</v>
      </c>
      <c r="Q679" s="1" t="b">
        <f t="shared" ref="Q679" si="501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495"/>
        <v>1</v>
      </c>
      <c r="M680" s="1" t="s">
        <v>44</v>
      </c>
      <c r="Q680" s="1" t="b">
        <f t="shared" ref="Q680" si="502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495"/>
        <v>2492492492</v>
      </c>
      <c r="M681" s="1" t="s">
        <v>428</v>
      </c>
      <c r="Q681" s="1" t="b">
        <f t="shared" ref="Q681" si="503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495"/>
        <v>0001</v>
      </c>
      <c r="M682" s="1" t="s">
        <v>429</v>
      </c>
      <c r="Q682" s="1" t="b">
        <f t="shared" ref="Q682" si="504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495"/>
        <v>0303030303</v>
      </c>
      <c r="M683" s="1" t="s">
        <v>430</v>
      </c>
      <c r="Q683" s="1" t="b">
        <f t="shared" ref="Q683:Q684" si="505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495"/>
        <v>1</v>
      </c>
      <c r="M684" s="1" t="s">
        <v>44</v>
      </c>
      <c r="Q684" s="1" t="b">
        <f t="shared" si="505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495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506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495"/>
        <v>3333333333</v>
      </c>
      <c r="M686" s="1" t="s">
        <v>425</v>
      </c>
      <c r="Q686" s="1" t="b">
        <f t="shared" si="506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495"/>
        <v>8</v>
      </c>
      <c r="M687" s="1" t="s">
        <v>426</v>
      </c>
      <c r="Q687" s="1" t="b">
        <f t="shared" si="506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495"/>
        <v>0010010010</v>
      </c>
      <c r="M688" s="1" t="s">
        <v>427</v>
      </c>
      <c r="Q688" s="1" t="b">
        <f t="shared" si="506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495"/>
        <v>1</v>
      </c>
      <c r="M689" s="1" t="s">
        <v>44</v>
      </c>
      <c r="Q689" s="1" t="b">
        <f t="shared" si="506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495"/>
        <v>2492492492</v>
      </c>
      <c r="M690" s="1" t="s">
        <v>428</v>
      </c>
      <c r="Q690" s="1" t="b">
        <f t="shared" si="506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495"/>
        <v>0001</v>
      </c>
      <c r="M691" s="1" t="s">
        <v>429</v>
      </c>
      <c r="Q691" s="1" t="b">
        <f t="shared" si="506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495"/>
        <v>0303030303</v>
      </c>
      <c r="M692" s="1" t="s">
        <v>430</v>
      </c>
      <c r="Q692" s="1" t="b">
        <f t="shared" si="506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495"/>
        <v>1</v>
      </c>
      <c r="M693" s="1" t="s">
        <v>44</v>
      </c>
      <c r="Q693" s="1" t="b">
        <f t="shared" si="506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495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507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495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495"/>
        <v>1</v>
      </c>
      <c r="M696" s="1" t="s">
        <v>44</v>
      </c>
      <c r="Q696" s="1" t="b">
        <f t="shared" si="507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08">TESTconvRadixOfFrc(E697,F697,G697,H697)</f>
        <v>1</v>
      </c>
      <c r="M697" s="1" t="s">
        <v>44</v>
      </c>
      <c r="Q697" s="1" t="b">
        <f t="shared" si="507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08"/>
        <v>1</v>
      </c>
      <c r="M698" s="1" t="s">
        <v>44</v>
      </c>
      <c r="Q698" s="1" t="b">
        <f t="shared" si="507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08"/>
        <v>1</v>
      </c>
      <c r="M699" s="1" t="s">
        <v>44</v>
      </c>
      <c r="Q699" s="1" t="b">
        <f t="shared" si="507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08"/>
        <v>1</v>
      </c>
      <c r="M700" s="1" t="s">
        <v>44</v>
      </c>
      <c r="Q700" s="1" t="b">
        <f t="shared" si="507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08"/>
        <v>1</v>
      </c>
      <c r="M701" s="1" t="s">
        <v>44</v>
      </c>
      <c r="Q701" s="1" t="b">
        <f t="shared" si="507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08"/>
        <v>1</v>
      </c>
      <c r="M702" s="1" t="s">
        <v>44</v>
      </c>
      <c r="Q702" s="1" t="b">
        <f t="shared" si="507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08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09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08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09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08"/>
        <v>01</v>
      </c>
      <c r="M705" s="1" t="s">
        <v>231</v>
      </c>
      <c r="Q705" s="1" t="b">
        <f t="shared" si="509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08"/>
        <v>01</v>
      </c>
      <c r="M706" s="1" t="s">
        <v>231</v>
      </c>
      <c r="Q706" s="1" t="b">
        <f t="shared" si="509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08"/>
        <v>01</v>
      </c>
      <c r="M707" s="1" t="s">
        <v>231</v>
      </c>
      <c r="Q707" s="1" t="b">
        <f t="shared" si="509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08"/>
        <v>01</v>
      </c>
      <c r="M708" s="1" t="s">
        <v>231</v>
      </c>
      <c r="Q708" s="1" t="b">
        <f t="shared" si="509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08"/>
        <v>01</v>
      </c>
      <c r="M709" s="1" t="s">
        <v>231</v>
      </c>
      <c r="Q709" s="1" t="b">
        <f t="shared" si="509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08"/>
        <v>01</v>
      </c>
      <c r="M710" s="1" t="s">
        <v>231</v>
      </c>
      <c r="Q710" s="1" t="b">
        <f t="shared" si="509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08"/>
        <v>01</v>
      </c>
      <c r="M711" s="1" t="s">
        <v>231</v>
      </c>
      <c r="Q711" s="1" t="b">
        <f t="shared" si="509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08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10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08"/>
        <v>001</v>
      </c>
      <c r="M713" s="1" t="s">
        <v>81</v>
      </c>
      <c r="Q713" s="1" t="b">
        <f t="shared" si="510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08"/>
        <v>001</v>
      </c>
      <c r="M714" s="1" t="s">
        <v>81</v>
      </c>
      <c r="Q714" s="1" t="b">
        <f t="shared" ref="Q714:Q724" si="511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08"/>
        <v>001</v>
      </c>
      <c r="M715" s="1" t="s">
        <v>81</v>
      </c>
      <c r="Q715" s="1" t="b">
        <f t="shared" si="511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08"/>
        <v>001</v>
      </c>
      <c r="M716" s="1" t="s">
        <v>81</v>
      </c>
      <c r="Q716" s="1" t="b">
        <f t="shared" si="511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08"/>
        <v>001</v>
      </c>
      <c r="M717" s="1" t="s">
        <v>81</v>
      </c>
      <c r="Q717" s="1" t="b">
        <f t="shared" si="511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08"/>
        <v>001</v>
      </c>
      <c r="M718" s="1" t="s">
        <v>81</v>
      </c>
      <c r="Q718" s="1" t="b">
        <f t="shared" si="511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08"/>
        <v>001</v>
      </c>
      <c r="M719" s="1" t="s">
        <v>81</v>
      </c>
      <c r="Q719" s="1" t="b">
        <f t="shared" si="511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08"/>
        <v>001</v>
      </c>
      <c r="M720" s="1" t="s">
        <v>81</v>
      </c>
      <c r="Q720" s="1" t="b">
        <f t="shared" si="511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08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11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08"/>
        <v>3</v>
      </c>
      <c r="M722" s="1" t="s">
        <v>80</v>
      </c>
      <c r="Q722" s="1" t="b">
        <f t="shared" si="511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08"/>
        <v>33</v>
      </c>
      <c r="M723" s="1" t="s">
        <v>457</v>
      </c>
      <c r="Q723" s="1" t="b">
        <f t="shared" si="511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0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11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2018-05-28T13:44:44Z</dcterms:modified>
</cp:coreProperties>
</file>